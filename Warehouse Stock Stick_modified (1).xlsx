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xl/worksheets/sheet18.xml" ContentType="application/vnd.openxmlformats-officedocument.spreadsheetml.worksheet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WAREHOUSE" state="visible" r:id="rId4"/>
    <sheet sheetId="6" name="Sheet2" state="hidden" r:id="rId5"/>
    <sheet sheetId="10" name="Padron 15.07" state="hidden" r:id="rId6"/>
    <sheet sheetId="15" name="Cubans" state="visible" r:id="rId7"/>
    <sheet sheetId="9" name="Padron" state="visible" r:id="rId8"/>
    <sheet sheetId="8" name="Fuente Prometeous" state="visible" r:id="rId9"/>
    <sheet sheetId="14" name="ACCESSORIES" state="visible" r:id="rId10"/>
    <sheet sheetId="16" name="Flavoured" state="visible" r:id="rId11"/>
    <sheet sheetId="18" name="Pipe Tobacco" state="visible" r:id="rId12"/>
    <sheet sheetId="7" name="Sheet1" state="visible" r:id="rId13"/>
    <sheet sheetId="11" name="PADRON Stocktake 18.5.23" state="visible" r:id="rId14"/>
    <sheet sheetId="4" name="STOCK TAKE 15.05" state="visible" r:id="rId15"/>
  </sheets>
  <definedNames>
    <definedName name="_xlnm._FilterDatabase">WAREHOUSE!$B$2:$U$232</definedName>
    <definedName name="_xlnm.Print_Area" localSheetId="2">'Padron 15.07'!$A1:$M68</definedName>
    <definedName name="_xlnm.Print_Area" localSheetId="4">'Padron'!$B1:$K99</definedName>
    <definedName name="_xlnm.Print_Area" localSheetId="10">'PADRON Stocktake 18.5.23'!$A1:$I75</definedName>
  </definedNames>
  <calcPr calcId="171027"/>
</workbook>
</file>

<file path=xl/comments18.xml><?xml version="1.0" encoding="utf-8"?>
<comments xmlns="http://schemas.openxmlformats.org/spreadsheetml/2006/main">
  <authors>
    <author>Author</author>
  </authors>
  <commentList>
    <comment ref="C75" authorId="0">
      <text>
        <r>
          <rPr>
            <b/>
            <color indexed="81"/>
            <family val="2"/>
            <sz val="9"/>
            <rFont val="Tahoma"/>
          </rPr>
          <t>PDS Whyalla:</t>
        </r>
        <r>
          <rPr>
            <color indexed="81"/>
            <family val="2"/>
            <sz val="9"/>
            <rFont val="Tahoma"/>
          </rPr>
          <t xml:space="preserve">
-1 13.03
</t>
        </r>
      </text>
    </comment>
    <comment ref="C83" authorId="0">
      <text>
        <r>
          <rPr>
            <b/>
            <color indexed="81"/>
            <family val="2"/>
            <sz val="9"/>
            <rFont val="Tahoma"/>
          </rPr>
          <t>PDS Whyalla:</t>
        </r>
        <r>
          <rPr>
            <color indexed="81"/>
            <family val="2"/>
            <sz val="9"/>
            <rFont val="Tahoma"/>
          </rPr>
          <t xml:space="preserve">
-2 14.3
</t>
        </r>
      </text>
    </comment>
  </commentList>
</comments>
</file>

<file path=xl/sharedStrings.xml><?xml version="1.0" encoding="utf-8"?>
<sst xmlns="http://schemas.openxmlformats.org/spreadsheetml/2006/main" count="12382" uniqueCount="5536">
  <si>
    <t>MINIMUM STOCK</t>
  </si>
  <si>
    <t>Date Changed - 15/12/25 Ivan</t>
  </si>
  <si>
    <t>.</t>
  </si>
  <si>
    <t>7 427025678770</t>
  </si>
  <si>
    <t>AGA003</t>
  </si>
  <si>
    <t>BC</t>
  </si>
  <si>
    <t>Aganorsa Leaf</t>
  </si>
  <si>
    <t>Aganorsa Aniversario Gran Robusto Maduro</t>
  </si>
  <si>
    <t>36028+8</t>
  </si>
  <si>
    <t>22/5/23-1</t>
  </si>
  <si>
    <t>8/10/24-1</t>
  </si>
  <si>
    <t>23/10/25-1</t>
  </si>
  <si>
    <t>AGA001</t>
  </si>
  <si>
    <t>Aganorsa Aniversario Gran Toro</t>
  </si>
  <si>
    <t>35156+6</t>
  </si>
  <si>
    <t>9/1/23-2</t>
  </si>
  <si>
    <t>25/1/23-2</t>
  </si>
  <si>
    <t>7 427025678763</t>
  </si>
  <si>
    <t>AGA002</t>
  </si>
  <si>
    <t>Aganorsa Aniversario Gran Toro Maduro</t>
  </si>
  <si>
    <t>36028+4</t>
  </si>
  <si>
    <t>5/6/23-1</t>
  </si>
  <si>
    <t>7/6/23-1</t>
  </si>
  <si>
    <t>15/9/23-1</t>
  </si>
  <si>
    <t>13/9/24-1</t>
  </si>
  <si>
    <t>30/12/24-1</t>
  </si>
  <si>
    <t>18/8/25-1</t>
  </si>
  <si>
    <t>8 1143802477 9</t>
  </si>
  <si>
    <t>AR003</t>
  </si>
  <si>
    <t>Alliance</t>
  </si>
  <si>
    <t>Aging Room</t>
  </si>
  <si>
    <t>Aging Room Quattro Nicaragua EXPESSIVO -20</t>
  </si>
  <si>
    <t>0540+2</t>
  </si>
  <si>
    <t>10/11/22-1</t>
  </si>
  <si>
    <t>12/11/22-1</t>
  </si>
  <si>
    <t>13/11/24-1</t>
  </si>
  <si>
    <t>8/10/25-1</t>
  </si>
  <si>
    <t>8 1143802483 0</t>
  </si>
  <si>
    <t>AR002</t>
  </si>
  <si>
    <t>2</t>
  </si>
  <si>
    <t>Aging Room Quattro Nicaragua Maestro -20</t>
  </si>
  <si>
    <t>277312+2</t>
  </si>
  <si>
    <t>1/4/25-1</t>
  </si>
  <si>
    <t>21/5/25-1</t>
  </si>
  <si>
    <t>4/6/25-1</t>
  </si>
  <si>
    <t>6/6/25-1</t>
  </si>
  <si>
    <t>10/6/25-1</t>
  </si>
  <si>
    <t>17/6/25-1</t>
  </si>
  <si>
    <t>11/8/25-1</t>
  </si>
  <si>
    <t>12/8/25-1</t>
  </si>
  <si>
    <t>AR004</t>
  </si>
  <si>
    <t>Aging Room Quattro Nicaragua VIBRATO -20</t>
  </si>
  <si>
    <t>92210252+4</t>
  </si>
  <si>
    <t>8/2/23-1</t>
  </si>
  <si>
    <t>8 1019408028 9</t>
  </si>
  <si>
    <t>AJF045</t>
  </si>
  <si>
    <t>AJF</t>
  </si>
  <si>
    <t>AJ Fernandes</t>
  </si>
  <si>
    <t>Bella Art Mad GORDO White</t>
  </si>
  <si>
    <t>277330+2</t>
  </si>
  <si>
    <t>25/11/25-2</t>
  </si>
  <si>
    <t>25/7/25-1</t>
  </si>
  <si>
    <t>29/7/25-1</t>
  </si>
  <si>
    <t>2/9/25-1</t>
  </si>
  <si>
    <t>8/9/25-1</t>
  </si>
  <si>
    <t>9/9/25-1</t>
  </si>
  <si>
    <t>3/10/25-1</t>
  </si>
  <si>
    <t>7 429457791775</t>
  </si>
  <si>
    <t>AJF010</t>
  </si>
  <si>
    <t>Bella Art Mad Robusto White</t>
  </si>
  <si>
    <t>259071+1</t>
  </si>
  <si>
    <t>25/1/23-1</t>
  </si>
  <si>
    <t>5/3/23-1</t>
  </si>
  <si>
    <t>20/12/23-1</t>
  </si>
  <si>
    <t>26/1/24-1</t>
  </si>
  <si>
    <t>28/11/25-1</t>
  </si>
  <si>
    <t>9/12/25-2</t>
  </si>
  <si>
    <t>7 426824781094</t>
  </si>
  <si>
    <t>AJF025</t>
  </si>
  <si>
    <t>Bella Art Maduro Lancero white</t>
  </si>
  <si>
    <t>0980+20</t>
  </si>
  <si>
    <t>24/3/25-2</t>
  </si>
  <si>
    <t>7/4/25-2</t>
  </si>
  <si>
    <t>7/5/25-1</t>
  </si>
  <si>
    <t>4/8/25-1</t>
  </si>
  <si>
    <t>3/1/25-1</t>
  </si>
  <si>
    <t>28/1/25-1</t>
  </si>
  <si>
    <t>24/2/25-1</t>
  </si>
  <si>
    <t>10/3/25-1</t>
  </si>
  <si>
    <t>7 429457990949</t>
  </si>
  <si>
    <t>AJF009</t>
  </si>
  <si>
    <t>Bellas A Hyb Short Churchill 20s</t>
  </si>
  <si>
    <t>nov+2</t>
  </si>
  <si>
    <t>24/3/22-1</t>
  </si>
  <si>
    <t>16/8/22-2</t>
  </si>
  <si>
    <t>17/11/23-1</t>
  </si>
  <si>
    <t>30/9/24-1</t>
  </si>
  <si>
    <t>7 429457990956</t>
  </si>
  <si>
    <t>AJF028</t>
  </si>
  <si>
    <t>Bellas Artes Robusto Extra 20s Red</t>
  </si>
  <si>
    <t>248832+1</t>
  </si>
  <si>
    <t>2/11/21-2</t>
  </si>
  <si>
    <t>27/11/24-1</t>
  </si>
  <si>
    <t>AJF15</t>
  </si>
  <si>
    <t>BLEND 15 ROBUSTO 15'S</t>
  </si>
  <si>
    <t>14/5/23-1</t>
  </si>
  <si>
    <t>19/4/23-1</t>
  </si>
  <si>
    <t>21/8/23-1</t>
  </si>
  <si>
    <t>30/8/23-2</t>
  </si>
  <si>
    <t>14/3/24-1</t>
  </si>
  <si>
    <t>23/8/24-1</t>
  </si>
  <si>
    <t>30/10/24-3</t>
  </si>
  <si>
    <t>13/1/25-1</t>
  </si>
  <si>
    <t>AJF16</t>
  </si>
  <si>
    <t>BLEND 15 SHORT ROB - 15s</t>
  </si>
  <si>
    <t>0980+5</t>
  </si>
  <si>
    <t>14/8/24-2</t>
  </si>
  <si>
    <t>21/8/24-1</t>
  </si>
  <si>
    <t>27/9/24-1</t>
  </si>
  <si>
    <t>1/2/25-1</t>
  </si>
  <si>
    <t>5/2/25-1</t>
  </si>
  <si>
    <t>21/8/25-1</t>
  </si>
  <si>
    <t>7 426824785412</t>
  </si>
  <si>
    <t>AJF17</t>
  </si>
  <si>
    <t>BLEND 15 TORO 15'S</t>
  </si>
  <si>
    <t>15/5/23-1</t>
  </si>
  <si>
    <t>27/6/24-1</t>
  </si>
  <si>
    <t>7 426824781605</t>
  </si>
  <si>
    <t>AJF055</t>
  </si>
  <si>
    <t>Dias De Gloria Brazil Toro Box of 20</t>
  </si>
  <si>
    <t>277348+3</t>
  </si>
  <si>
    <t>3/3/25-1</t>
  </si>
  <si>
    <t>22/5/25-2</t>
  </si>
  <si>
    <t>21/7/25-1</t>
  </si>
  <si>
    <t>12/9/25-1</t>
  </si>
  <si>
    <t>29/9/25-1</t>
  </si>
  <si>
    <t>AJF018</t>
  </si>
  <si>
    <t>Dias De Gloria Robusto Box of 20</t>
  </si>
  <si>
    <t>0540+4</t>
  </si>
  <si>
    <t>20/2/23-1</t>
  </si>
  <si>
    <t>9/1/24-1</t>
  </si>
  <si>
    <t>14/10/24-1</t>
  </si>
  <si>
    <t>14/11/24-1</t>
  </si>
  <si>
    <t>7 426824785719</t>
  </si>
  <si>
    <t>AJF061</t>
  </si>
  <si>
    <t>Dias De Gloria Corona Box of 20</t>
  </si>
  <si>
    <t>277355+3</t>
  </si>
  <si>
    <t>13/11/25-1</t>
  </si>
  <si>
    <t>5/12/25-1</t>
  </si>
  <si>
    <t>7 426824785566</t>
  </si>
  <si>
    <t>AJF031</t>
  </si>
  <si>
    <t>Enclave  Connecticut Toro Box of 20</t>
  </si>
  <si>
    <t>92210252+5</t>
  </si>
  <si>
    <t>21/7/22-1</t>
  </si>
  <si>
    <t>8 1019408048 7</t>
  </si>
  <si>
    <t>AJF013</t>
  </si>
  <si>
    <t>Enclave Broadleaf  Churchill Box of 20</t>
  </si>
  <si>
    <t>277364+2</t>
  </si>
  <si>
    <t>3/12/25-1</t>
  </si>
  <si>
    <t>24/6/25-1</t>
  </si>
  <si>
    <t>3/7/25-2</t>
  </si>
  <si>
    <t>26/8/25-1</t>
  </si>
  <si>
    <t>10/9/25-1</t>
  </si>
  <si>
    <t>3/11/25-1</t>
  </si>
  <si>
    <t>8 1019408038 8</t>
  </si>
  <si>
    <t>AJF003</t>
  </si>
  <si>
    <t>Enclave Churchill Habano Box of 20</t>
  </si>
  <si>
    <t>habano</t>
  </si>
  <si>
    <t>277368+2</t>
  </si>
  <si>
    <t>22/9/25-1</t>
  </si>
  <si>
    <t>21/10/25-1</t>
  </si>
  <si>
    <t>28/10/25-1</t>
  </si>
  <si>
    <t>2/12/25-2</t>
  </si>
  <si>
    <t>26/8/25-2</t>
  </si>
  <si>
    <t>15/9/25-1</t>
  </si>
  <si>
    <t>8 5135000148 9</t>
  </si>
  <si>
    <t>AJF011</t>
  </si>
  <si>
    <t>Enclave Robusto Box of 21</t>
  </si>
  <si>
    <t>16/12/25-122</t>
  </si>
  <si>
    <t>8 5135000145 8</t>
  </si>
  <si>
    <t>AJF012</t>
  </si>
  <si>
    <t>Enclave Toro Box of 20</t>
  </si>
  <si>
    <t>92210252+2</t>
  </si>
  <si>
    <t>7/3/22-1</t>
  </si>
  <si>
    <t>7 429457990987</t>
  </si>
  <si>
    <t>AJF014</t>
  </si>
  <si>
    <t>Last Call Chiquitas Box of 25</t>
  </si>
  <si>
    <t>nov+3</t>
  </si>
  <si>
    <t>29/5/23-1</t>
  </si>
  <si>
    <t>20/6/23-2</t>
  </si>
  <si>
    <t>9/11/23-1</t>
  </si>
  <si>
    <t>22/2/24-1</t>
  </si>
  <si>
    <t>7/02/2025-1</t>
  </si>
  <si>
    <t>19/11/25-1</t>
  </si>
  <si>
    <t>7 429457091028</t>
  </si>
  <si>
    <t>AJF026</t>
  </si>
  <si>
    <t>Last Call Chiquitas MADURO Box of 25</t>
  </si>
  <si>
    <t>nov+4</t>
  </si>
  <si>
    <t>28/4/23-1</t>
  </si>
  <si>
    <t>31/5/23-1</t>
  </si>
  <si>
    <t>2/1/24-1</t>
  </si>
  <si>
    <t>6/12/24-1</t>
  </si>
  <si>
    <t>7 429457091059</t>
  </si>
  <si>
    <t>AJF052</t>
  </si>
  <si>
    <t>Last Call Flaquitas  Maduro Box of 25</t>
  </si>
  <si>
    <t>0980+3</t>
  </si>
  <si>
    <t>4/2/25-1</t>
  </si>
  <si>
    <t>17/10/25-1</t>
  </si>
  <si>
    <t>7 429457091011</t>
  </si>
  <si>
    <t>AJF027</t>
  </si>
  <si>
    <t>Last Call Flaquitas Box of 25</t>
  </si>
  <si>
    <t>277348+2</t>
  </si>
  <si>
    <t>19/9/25-1</t>
  </si>
  <si>
    <t>4/11/25-1</t>
  </si>
  <si>
    <t>6/10/23-1</t>
  </si>
  <si>
    <t>21/5/24-1</t>
  </si>
  <si>
    <t>7/6/24-1</t>
  </si>
  <si>
    <t>4/10/24-1</t>
  </si>
  <si>
    <t>26/6/25-1</t>
  </si>
  <si>
    <t>25/8/25-1</t>
  </si>
  <si>
    <t>7 429457990994</t>
  </si>
  <si>
    <t>AJF042</t>
  </si>
  <si>
    <t>Last Call Habano Corticas-  26</t>
  </si>
  <si>
    <t xml:space="preserve">nil at alliance </t>
  </si>
  <si>
    <t>30/9/25-1</t>
  </si>
  <si>
    <t>7 429457091042</t>
  </si>
  <si>
    <t>AJF001</t>
  </si>
  <si>
    <t>Last Call Maduro Corticas-  25</t>
  </si>
  <si>
    <t>23/3/23-1</t>
  </si>
  <si>
    <t>4/1/23-1</t>
  </si>
  <si>
    <t>14/11/23-1</t>
  </si>
  <si>
    <t>20/3/24-1</t>
  </si>
  <si>
    <t>10/5/24-1</t>
  </si>
  <si>
    <t>13/8/24-1</t>
  </si>
  <si>
    <t>6/1/25-1</t>
  </si>
  <si>
    <t>AJF030</t>
  </si>
  <si>
    <t>New World  Toro Redondo Box of 20</t>
  </si>
  <si>
    <t>19/7/22-1</t>
  </si>
  <si>
    <t>29/10/24-1</t>
  </si>
  <si>
    <t>6/12/24-2</t>
  </si>
  <si>
    <t>7 429457591542</t>
  </si>
  <si>
    <t>AJF050</t>
  </si>
  <si>
    <t>New World Cameroon Double Robusto</t>
  </si>
  <si>
    <t>order - check</t>
  </si>
  <si>
    <t>273127+1</t>
  </si>
  <si>
    <t>15/7/24-1</t>
  </si>
  <si>
    <t>12/02/25-1</t>
  </si>
  <si>
    <t>19/2/25-1</t>
  </si>
  <si>
    <t>4/3/25-1</t>
  </si>
  <si>
    <t>15/4/25-1</t>
  </si>
  <si>
    <t>30/6/25-1</t>
  </si>
  <si>
    <t>7 429457591528</t>
  </si>
  <si>
    <t>AJF029</t>
  </si>
  <si>
    <t>New World Cameroon Short Robusto</t>
  </si>
  <si>
    <t>5/6/25 275802+1</t>
  </si>
  <si>
    <t>16/4/25-1</t>
  </si>
  <si>
    <t>8/5/25-1</t>
  </si>
  <si>
    <t>20/8/25-1</t>
  </si>
  <si>
    <t>21/11/25-1</t>
  </si>
  <si>
    <t>19/11/24-1</t>
  </si>
  <si>
    <t>4/12/24-1</t>
  </si>
  <si>
    <t>7 429457591535</t>
  </si>
  <si>
    <t>AJF049</t>
  </si>
  <si>
    <t>New World Cameroon Toro</t>
  </si>
  <si>
    <t>277299+2</t>
  </si>
  <si>
    <t>19/1/24-1</t>
  </si>
  <si>
    <t>11/6/25-1</t>
  </si>
  <si>
    <t>16/6/25-1</t>
  </si>
  <si>
    <t>8 5135000195 3</t>
  </si>
  <si>
    <t>AJF022</t>
  </si>
  <si>
    <t>New World Conecticut Toro Box of 20</t>
  </si>
  <si>
    <t>nov+10</t>
  </si>
  <si>
    <t>13/11/23-2</t>
  </si>
  <si>
    <t>17/7/24-1</t>
  </si>
  <si>
    <t>22/7/24-1</t>
  </si>
  <si>
    <t>4/8ad-1</t>
  </si>
  <si>
    <t>16/9/25-2</t>
  </si>
  <si>
    <t>14/10/25-2</t>
  </si>
  <si>
    <t>4/10/23-1</t>
  </si>
  <si>
    <t>8 5135000198 4</t>
  </si>
  <si>
    <t>AJF015</t>
  </si>
  <si>
    <t>New World Connecticut Robusto Box of 20</t>
  </si>
  <si>
    <t>10/10/25-1</t>
  </si>
  <si>
    <t>20/10/25-1</t>
  </si>
  <si>
    <t>18/11/25-1</t>
  </si>
  <si>
    <t>17/9/25-1</t>
  </si>
  <si>
    <t>26/9/25-1</t>
  </si>
  <si>
    <t>7 426824785825</t>
  </si>
  <si>
    <t>AJF021</t>
  </si>
  <si>
    <t>New World Oscuro pack of 5</t>
  </si>
  <si>
    <t>carton pack</t>
  </si>
  <si>
    <t>0540+40</t>
  </si>
  <si>
    <t>25/11/25-1</t>
  </si>
  <si>
    <t>4/6/24-1</t>
  </si>
  <si>
    <t>20/8/24-5</t>
  </si>
  <si>
    <t>26/11/24-1</t>
  </si>
  <si>
    <t>8 1019408006 7</t>
  </si>
  <si>
    <t>AJF060</t>
  </si>
  <si>
    <t>New World Oscuro Toro</t>
  </si>
  <si>
    <t>22/8/25-2</t>
  </si>
  <si>
    <t>7 429457191117</t>
  </si>
  <si>
    <t>AJF016</t>
  </si>
  <si>
    <t>New World Puro Es Toro Box of 20</t>
  </si>
  <si>
    <t>22/8/22-1</t>
  </si>
  <si>
    <t>5/12/24-1</t>
  </si>
  <si>
    <t>25/3/25-1</t>
  </si>
  <si>
    <t>7 126824785832</t>
  </si>
  <si>
    <t>AJF051</t>
  </si>
  <si>
    <t>New World Sampler</t>
  </si>
  <si>
    <t>nov+70</t>
  </si>
  <si>
    <t>1/9/25-3</t>
  </si>
  <si>
    <t>9/10/25-3</t>
  </si>
  <si>
    <t>12/11/25-3</t>
  </si>
  <si>
    <t>27/5/24-1</t>
  </si>
  <si>
    <t>26/9/24-3</t>
  </si>
  <si>
    <t>2/10/24-5</t>
  </si>
  <si>
    <t>14/11/24-5</t>
  </si>
  <si>
    <t>8 5135000011 6</t>
  </si>
  <si>
    <t>AJFSP</t>
  </si>
  <si>
    <t>SAMPLER Premium  Sampler 5s</t>
  </si>
  <si>
    <t>Prem Sampler</t>
  </si>
  <si>
    <t>0540+30</t>
  </si>
  <si>
    <t>29/7/24-1</t>
  </si>
  <si>
    <t>30/9/24-2</t>
  </si>
  <si>
    <t>6/1/25-5</t>
  </si>
  <si>
    <t>18/8/25-5</t>
  </si>
  <si>
    <t>30/9/25-5</t>
  </si>
  <si>
    <t>7/10/25-5</t>
  </si>
  <si>
    <t>8 5135000391 9</t>
  </si>
  <si>
    <t>AJF019</t>
  </si>
  <si>
    <t>SAN LOTANO HABANO REQ ROB - BX</t>
  </si>
  <si>
    <t>0980+9</t>
  </si>
  <si>
    <t>30/12/21-1</t>
  </si>
  <si>
    <t>8/6/22-1</t>
  </si>
  <si>
    <t>8 5135000389 6</t>
  </si>
  <si>
    <t>AJF020</t>
  </si>
  <si>
    <t>SAN LOTANO HABANO REQ TORO - BX</t>
  </si>
  <si>
    <t>0321+5</t>
  </si>
  <si>
    <t>15/10/25-1</t>
  </si>
  <si>
    <t>8 5135000383 4</t>
  </si>
  <si>
    <t>AJF032</t>
  </si>
  <si>
    <t>San Lotano Req Connecticut Rob Box of 20</t>
  </si>
  <si>
    <t>2/5 274412+3</t>
  </si>
  <si>
    <t>24/7/22-1</t>
  </si>
  <si>
    <t>4/7/23-</t>
  </si>
  <si>
    <t>14/2/24-1</t>
  </si>
  <si>
    <t>29/10/25-1</t>
  </si>
  <si>
    <t>AJF043</t>
  </si>
  <si>
    <t>San Lotano Req Connecticut Toro Box of 20</t>
  </si>
  <si>
    <t>0540+5</t>
  </si>
  <si>
    <t>21/12/23-1</t>
  </si>
  <si>
    <t>30/5/24-1</t>
  </si>
  <si>
    <t>8 1019408078 4</t>
  </si>
  <si>
    <t>AJF017</t>
  </si>
  <si>
    <t>3-8</t>
  </si>
  <si>
    <t>San Lotano Req Mad Robusto Box of 20</t>
  </si>
  <si>
    <t>277368+3</t>
  </si>
  <si>
    <t>23/5/25-2</t>
  </si>
  <si>
    <t>26/5/25-1</t>
  </si>
  <si>
    <t>18/6/25-1</t>
  </si>
  <si>
    <t>9/10/25-2</t>
  </si>
  <si>
    <t>22/10/25-1</t>
  </si>
  <si>
    <t>12/11/25-1</t>
  </si>
  <si>
    <t>20/5/25-2</t>
  </si>
  <si>
    <t>8 5135000397 1</t>
  </si>
  <si>
    <t>AJF059</t>
  </si>
  <si>
    <t>San Lotano Req Mad Toro Box of 20</t>
  </si>
  <si>
    <t>277331+2</t>
  </si>
  <si>
    <t>9/6/25-1</t>
  </si>
  <si>
    <t>18/6/25-2</t>
  </si>
  <si>
    <t>7/7/25-1</t>
  </si>
  <si>
    <t>18/8/25-2</t>
  </si>
  <si>
    <t>5 404021001926</t>
  </si>
  <si>
    <t>AJFST</t>
  </si>
  <si>
    <t>SAMPLER Toro  Sampler 5s</t>
  </si>
  <si>
    <t>Toro</t>
  </si>
  <si>
    <t>0980+10</t>
  </si>
  <si>
    <t>26/9/25-3</t>
  </si>
  <si>
    <t>14/5/25-4</t>
  </si>
  <si>
    <t>29/5/25-1</t>
  </si>
  <si>
    <t>18/6/25-5</t>
  </si>
  <si>
    <t>15/8/25-5</t>
  </si>
  <si>
    <t>27/8/25-1</t>
  </si>
  <si>
    <t>9/9/25-3</t>
  </si>
  <si>
    <t>6 5985902639 8</t>
  </si>
  <si>
    <t>AJF054</t>
  </si>
  <si>
    <t>AJ Fernandez</t>
  </si>
  <si>
    <t>20th Anniversary Maduro Toro</t>
  </si>
  <si>
    <t>3/2/25-1</t>
  </si>
  <si>
    <t>4/2/25-2</t>
  </si>
  <si>
    <t>22/4/25-1</t>
  </si>
  <si>
    <t>AFJ024</t>
  </si>
  <si>
    <t>Diesel Crucible</t>
  </si>
  <si>
    <t>20/9/21-1</t>
  </si>
  <si>
    <t>28/4/22-2</t>
  </si>
  <si>
    <t>31/5/22-1</t>
  </si>
  <si>
    <t>AJF007</t>
  </si>
  <si>
    <t>Diesel Delerium</t>
  </si>
  <si>
    <t>*1.4 Damaged</t>
  </si>
  <si>
    <t>6 8967415479 2</t>
  </si>
  <si>
    <t>AJF062</t>
  </si>
  <si>
    <t>Diesel Fool Errand Worthy Fool LE</t>
  </si>
  <si>
    <t>277364+10</t>
  </si>
  <si>
    <t>4/12/25-1</t>
  </si>
  <si>
    <t>9/12/25-1</t>
  </si>
  <si>
    <t>15/12/25-3</t>
  </si>
  <si>
    <t>AJF008</t>
  </si>
  <si>
    <t>Diesel Hair of the dog</t>
  </si>
  <si>
    <t>*2 Damaged</t>
  </si>
  <si>
    <t>6 8967414503 5</t>
  </si>
  <si>
    <t>AJF041</t>
  </si>
  <si>
    <t>Diesel Sideshow Sampler</t>
  </si>
  <si>
    <t>277314+5</t>
  </si>
  <si>
    <t>11/9/25-1</t>
  </si>
  <si>
    <t>6  8967409522 4</t>
  </si>
  <si>
    <t>AJF057</t>
  </si>
  <si>
    <t>Diesel Wisky Row CHURCHILL Bourbon</t>
  </si>
  <si>
    <t>274914+5</t>
  </si>
  <si>
    <t>22/5/25-1</t>
  </si>
  <si>
    <t>6 8967409516 3</t>
  </si>
  <si>
    <t>AJF002</t>
  </si>
  <si>
    <t>Diesel Wisky Row Robusto Bourbon</t>
  </si>
  <si>
    <t>275075+4</t>
  </si>
  <si>
    <t>10/4/25-1</t>
  </si>
  <si>
    <t>28/5/25-1</t>
  </si>
  <si>
    <t>5/9/25-1</t>
  </si>
  <si>
    <t>10/12/25-1</t>
  </si>
  <si>
    <t>11/2/25-1</t>
  </si>
  <si>
    <t>11/3/25-1</t>
  </si>
  <si>
    <t>6 8967409935 2</t>
  </si>
  <si>
    <t>AJF005</t>
  </si>
  <si>
    <t>Diesel Wisky Row Sherry Cask ROBUSTO</t>
  </si>
  <si>
    <t>28/4/25-1</t>
  </si>
  <si>
    <t>5/8/25-1</t>
  </si>
  <si>
    <t>1/12/24-2</t>
  </si>
  <si>
    <t>25/2/25-1</t>
  </si>
  <si>
    <t>9/4/25-1</t>
  </si>
  <si>
    <t>6 8967409938 3</t>
  </si>
  <si>
    <t>AJF058</t>
  </si>
  <si>
    <t>Diesel Wisky Row Sherry Cask TORO</t>
  </si>
  <si>
    <t>277368+1</t>
  </si>
  <si>
    <t>19/5/25-1</t>
  </si>
  <si>
    <t>22/7/25-1</t>
  </si>
  <si>
    <t>6 89674 09519 4</t>
  </si>
  <si>
    <t>AJF056</t>
  </si>
  <si>
    <t>Diesel Wisky Row TORO Bourbon</t>
  </si>
  <si>
    <t>276858 +2</t>
  </si>
  <si>
    <t>11/6/25-2</t>
  </si>
  <si>
    <t>7 426824785511</t>
  </si>
  <si>
    <t>AJF053</t>
  </si>
  <si>
    <t>New world Connectticut Churchill</t>
  </si>
  <si>
    <t>39361+5</t>
  </si>
  <si>
    <t>20/2/25-1</t>
  </si>
  <si>
    <t>17/3/25-1</t>
  </si>
  <si>
    <t>31/3/25-1</t>
  </si>
  <si>
    <t>23/6/25-2</t>
  </si>
  <si>
    <t>8 1019408168 2</t>
  </si>
  <si>
    <t>AJF023</t>
  </si>
  <si>
    <t>New world Connectticut Corona Gorda</t>
  </si>
  <si>
    <t>ALLIANCE ONLY</t>
  </si>
  <si>
    <t>277330+3</t>
  </si>
  <si>
    <t>3/12/25-2</t>
  </si>
  <si>
    <t>1/9/25-2</t>
  </si>
  <si>
    <t>24/10/25-1</t>
  </si>
  <si>
    <t>17/11/25-1</t>
  </si>
  <si>
    <t>1/12/25-1</t>
  </si>
  <si>
    <t>8 5135000189 2</t>
  </si>
  <si>
    <t>AJF040</t>
  </si>
  <si>
    <t>New world Connectticut Gordo 10 10 10</t>
  </si>
  <si>
    <t>277325+5 19/9/25</t>
  </si>
  <si>
    <t>2/12/25-1</t>
  </si>
  <si>
    <t>19/6/25-2</t>
  </si>
  <si>
    <t>4/7/25-1</t>
  </si>
  <si>
    <t>1/9/25-1</t>
  </si>
  <si>
    <t>7/11/25-2</t>
  </si>
  <si>
    <t xml:space="preserve">AJF046 </t>
  </si>
  <si>
    <t>New World Dorado - Corona</t>
  </si>
  <si>
    <t>7 426824785849</t>
  </si>
  <si>
    <t>AJF044</t>
  </si>
  <si>
    <t>New World Dorado - Gold Standard Sampler</t>
  </si>
  <si>
    <t>4/10/23-10</t>
  </si>
  <si>
    <t>4/11/23-1</t>
  </si>
  <si>
    <t>23/8/24-2</t>
  </si>
  <si>
    <t>28/11/24-2</t>
  </si>
  <si>
    <t>7/4/25-1</t>
  </si>
  <si>
    <t>14/7/25-1</t>
  </si>
  <si>
    <t>7 426824785771</t>
  </si>
  <si>
    <t xml:space="preserve">AJF047 </t>
  </si>
  <si>
    <t>New World Dorado - ROBUSTO</t>
  </si>
  <si>
    <t>0980+2</t>
  </si>
  <si>
    <t>2/2/25-1</t>
  </si>
  <si>
    <t>3/7/25-1</t>
  </si>
  <si>
    <t>25/6/24-2</t>
  </si>
  <si>
    <t>7 426824785788</t>
  </si>
  <si>
    <t xml:space="preserve">AJF048 </t>
  </si>
  <si>
    <t>New World Dorado - TORO</t>
  </si>
  <si>
    <t>13/11/23-1</t>
  </si>
  <si>
    <t>5/2/24-1</t>
  </si>
  <si>
    <t>8/2/24-1</t>
  </si>
  <si>
    <t>4/4/24-1</t>
  </si>
  <si>
    <t>21/6/24-1</t>
  </si>
  <si>
    <t>25/6/24-1</t>
  </si>
  <si>
    <t>13/8/25-1</t>
  </si>
  <si>
    <t>7 426824781193</t>
  </si>
  <si>
    <t>VIV004</t>
  </si>
  <si>
    <t>Viva La Vida Club 500</t>
  </si>
  <si>
    <t>38012+5</t>
  </si>
  <si>
    <t>16/8/22-1</t>
  </si>
  <si>
    <t>11/10/23-1</t>
  </si>
  <si>
    <t>11/12/23-1</t>
  </si>
  <si>
    <t>20/12/23-2</t>
  </si>
  <si>
    <t>23/5/25-1</t>
  </si>
  <si>
    <t>7/10/25-1</t>
  </si>
  <si>
    <t>VIV003</t>
  </si>
  <si>
    <t>Viva La Vida Diadma</t>
  </si>
  <si>
    <t>VIV001</t>
  </si>
  <si>
    <t>Viva La Vida Robusto</t>
  </si>
  <si>
    <t>VIV002</t>
  </si>
  <si>
    <t>Viva La Vida Toro</t>
  </si>
  <si>
    <t>8 1533701741 2</t>
  </si>
  <si>
    <t>ALB009</t>
  </si>
  <si>
    <t>ALEC Bradley</t>
  </si>
  <si>
    <t xml:space="preserve"> PROJECT 40 GORDO - 20</t>
  </si>
  <si>
    <t>old 20 per box 2 x 24 1 x 20 ……...1 BOX LEFT</t>
  </si>
  <si>
    <t>20/10/22-1</t>
  </si>
  <si>
    <t>6/8/22-1</t>
  </si>
  <si>
    <t>25/6/25-1</t>
  </si>
  <si>
    <t>ALB017</t>
  </si>
  <si>
    <t>BM - Torpedo</t>
  </si>
  <si>
    <t>2/6/25-2</t>
  </si>
  <si>
    <t>ALB006</t>
  </si>
  <si>
    <t>BM Estelli - Robusto box 24</t>
  </si>
  <si>
    <t>pending</t>
  </si>
  <si>
    <t>259658+1</t>
  </si>
  <si>
    <t>19/9/23-1</t>
  </si>
  <si>
    <t>258826+1</t>
  </si>
  <si>
    <t>22/1/24-1</t>
  </si>
  <si>
    <t>29/4/24-1</t>
  </si>
  <si>
    <t>8/11/24-1</t>
  </si>
  <si>
    <t>12/12/24-1</t>
  </si>
  <si>
    <t>ALB019</t>
  </si>
  <si>
    <t>BM Estelli - Toro</t>
  </si>
  <si>
    <t>8 1533701700 9</t>
  </si>
  <si>
    <t>ALB004</t>
  </si>
  <si>
    <t>BM Estelli - Torpedo</t>
  </si>
  <si>
    <t>8/6/23-1</t>
  </si>
  <si>
    <t>28/12/22-1</t>
  </si>
  <si>
    <t>16/1/24-1</t>
  </si>
  <si>
    <t>12/8/24-1</t>
  </si>
  <si>
    <t>6 1065580005 6</t>
  </si>
  <si>
    <t>ALB018</t>
  </si>
  <si>
    <t>Damn Good Toro</t>
  </si>
  <si>
    <t>277364+5</t>
  </si>
  <si>
    <t>8/12/25-1</t>
  </si>
  <si>
    <t>15/12/25-1</t>
  </si>
  <si>
    <t>8 1533701795 5</t>
  </si>
  <si>
    <t>ALB015</t>
  </si>
  <si>
    <t>BS</t>
  </si>
  <si>
    <t>Filthy Hoolgan Barber pole</t>
  </si>
  <si>
    <t>emre</t>
  </si>
  <si>
    <t>39211+5</t>
  </si>
  <si>
    <t>8 1533701535 7</t>
  </si>
  <si>
    <t>ALB016</t>
  </si>
  <si>
    <t>Filthy Hoolgan Shamrock</t>
  </si>
  <si>
    <t>6/3/25-1</t>
  </si>
  <si>
    <t>14/5/25-1</t>
  </si>
  <si>
    <t>8 1533701878 5</t>
  </si>
  <si>
    <t>ALB010</t>
  </si>
  <si>
    <t>Fine and Rare  2023</t>
  </si>
  <si>
    <t>27288+5</t>
  </si>
  <si>
    <t>8/8/24-1</t>
  </si>
  <si>
    <t>6 8967415743 4</t>
  </si>
  <si>
    <t>ALB020</t>
  </si>
  <si>
    <t>Fine and Rare LE 2024</t>
  </si>
  <si>
    <t>277368+5</t>
  </si>
  <si>
    <t>8 1533701648 4</t>
  </si>
  <si>
    <t>ALB014</t>
  </si>
  <si>
    <t>KINTSUGI CORONA GORDA</t>
  </si>
  <si>
    <t>possible delete</t>
  </si>
  <si>
    <t>266999+1</t>
  </si>
  <si>
    <t>27/9/22-1</t>
  </si>
  <si>
    <t>4/10/22-1</t>
  </si>
  <si>
    <t>28/8/23-1</t>
  </si>
  <si>
    <t>11/11/25-1</t>
  </si>
  <si>
    <t>8 15337 01649 1</t>
  </si>
  <si>
    <t>ALB012</t>
  </si>
  <si>
    <t>KINTSUGI ROBUSTO</t>
  </si>
  <si>
    <t>257443+2</t>
  </si>
  <si>
    <t>6/11/23-1</t>
  </si>
  <si>
    <t>17/2/25-1</t>
  </si>
  <si>
    <t>8 1533701650 7</t>
  </si>
  <si>
    <t>ALB013</t>
  </si>
  <si>
    <t>KINTSUGI TORO</t>
  </si>
  <si>
    <t>16/7/22-1</t>
  </si>
  <si>
    <t>8 1533701732 0</t>
  </si>
  <si>
    <t>ALE011</t>
  </si>
  <si>
    <t>MAXX FREAK BOX OF 20</t>
  </si>
  <si>
    <t>1 per month</t>
  </si>
  <si>
    <t>10/5/25-1</t>
  </si>
  <si>
    <t>12/7/25-1</t>
  </si>
  <si>
    <t>6/11/25-1</t>
  </si>
  <si>
    <t>23/10/24-1</t>
  </si>
  <si>
    <t>5/11/24-1</t>
  </si>
  <si>
    <t>23/12/24-1</t>
  </si>
  <si>
    <t>ALE010</t>
  </si>
  <si>
    <t>MAXX NANO PETIT CORONA  BOX 20</t>
  </si>
  <si>
    <t>from 20 per box to 24 from 12/3/22</t>
  </si>
  <si>
    <t>245731+2</t>
  </si>
  <si>
    <t>8 1533701749 8</t>
  </si>
  <si>
    <t>ALB005</t>
  </si>
  <si>
    <t>Prensado Churchill - Box 20</t>
  </si>
  <si>
    <t>277299+3</t>
  </si>
  <si>
    <t>17/7/25 -1</t>
  </si>
  <si>
    <t>15/8/25-1</t>
  </si>
  <si>
    <t>3/9/24-1</t>
  </si>
  <si>
    <t>17/9/24-1</t>
  </si>
  <si>
    <t>9/12/24-1</t>
  </si>
  <si>
    <t>ALB011</t>
  </si>
  <si>
    <t>TOTW CHUNK Sampler</t>
  </si>
  <si>
    <t>35078+15</t>
  </si>
  <si>
    <t>8 1533701527 2</t>
  </si>
  <si>
    <t>ALB008</t>
  </si>
  <si>
    <t>TOTW Short Series - 6's</t>
  </si>
  <si>
    <t>white</t>
  </si>
  <si>
    <t>258440+5</t>
  </si>
  <si>
    <t>15/2/24-1</t>
  </si>
  <si>
    <t>22/4/24-1</t>
  </si>
  <si>
    <t>19/5/24-1</t>
  </si>
  <si>
    <t>5/9/25-2</t>
  </si>
  <si>
    <t>ALB007</t>
  </si>
  <si>
    <t>TOTW Toro - Sampler 6's</t>
  </si>
  <si>
    <t>red</t>
  </si>
  <si>
    <t>8 1957701272 5</t>
  </si>
  <si>
    <t>ASH015</t>
  </si>
  <si>
    <t>Ashton</t>
  </si>
  <si>
    <t>ASHTON 10 Cigar sampler</t>
  </si>
  <si>
    <t>277331+8</t>
  </si>
  <si>
    <t>13/10/25-2</t>
  </si>
  <si>
    <t>NIL ON BOX</t>
  </si>
  <si>
    <t>ASH045</t>
  </si>
  <si>
    <t>ASHTON 5 Cigar Assortment White</t>
  </si>
  <si>
    <t>13/2/25-3</t>
  </si>
  <si>
    <t>2/6/25-1</t>
  </si>
  <si>
    <t>8 1957701202 2</t>
  </si>
  <si>
    <t>ASH013</t>
  </si>
  <si>
    <t xml:space="preserve">ASHTON ESG 22-year salute </t>
  </si>
  <si>
    <t>39361+3</t>
  </si>
  <si>
    <t>14/7/23-1</t>
  </si>
  <si>
    <t>24/1/23-1</t>
  </si>
  <si>
    <t>11/12/23-2</t>
  </si>
  <si>
    <t>19/9/24-1</t>
  </si>
  <si>
    <t>28/7/25-1</t>
  </si>
  <si>
    <t>24/9/25-1</t>
  </si>
  <si>
    <t>8 1957701267 1</t>
  </si>
  <si>
    <t>ASH016</t>
  </si>
  <si>
    <t>ASHTON ESQUIRE</t>
  </si>
  <si>
    <t>277314+1</t>
  </si>
  <si>
    <t>2/4/25-1</t>
  </si>
  <si>
    <t>15/5/25-1</t>
  </si>
  <si>
    <t>9/7/25-1</t>
  </si>
  <si>
    <t>16/10/25-1</t>
  </si>
  <si>
    <t>8 1957701190 2</t>
  </si>
  <si>
    <t>ASH014</t>
  </si>
  <si>
    <t>ASHTON MONARCH Tube</t>
  </si>
  <si>
    <t>246954+</t>
  </si>
  <si>
    <t>19/11/21-1</t>
  </si>
  <si>
    <t>18/12/22-1</t>
  </si>
  <si>
    <t>27/11/25-1</t>
  </si>
  <si>
    <t>ASH010</t>
  </si>
  <si>
    <t>ASHTON VSG 5-PK SAMPLER black</t>
  </si>
  <si>
    <t>black</t>
  </si>
  <si>
    <t>271420+5</t>
  </si>
  <si>
    <t>12/8/25-2</t>
  </si>
  <si>
    <t>13/10/25-1</t>
  </si>
  <si>
    <t>17/2/25-2</t>
  </si>
  <si>
    <t>27/3/25-1</t>
  </si>
  <si>
    <t>8 1957701256 5</t>
  </si>
  <si>
    <t>ASH011</t>
  </si>
  <si>
    <t>ASHTON VSG ROBUSTO  BOX OF 24</t>
  </si>
  <si>
    <t>267164+2</t>
  </si>
  <si>
    <t>7/2/23-1</t>
  </si>
  <si>
    <t>25/11/22-1</t>
  </si>
  <si>
    <t>2/9/24-1</t>
  </si>
  <si>
    <t>8 1957701260 2</t>
  </si>
  <si>
    <t>ASH009</t>
  </si>
  <si>
    <t>ASHTON VSG SORCERER BOX 24</t>
  </si>
  <si>
    <t>249607+3</t>
  </si>
  <si>
    <t>31/3/23-1</t>
  </si>
  <si>
    <t>8 1957701264 0</t>
  </si>
  <si>
    <t>ASH012</t>
  </si>
  <si>
    <t>ASHTON VSG TORPEDO  BOX OF 24</t>
  </si>
  <si>
    <t>233688+4</t>
  </si>
  <si>
    <t>1/11/22-1</t>
  </si>
  <si>
    <t>24/5/23-1</t>
  </si>
  <si>
    <t>LAD006</t>
  </si>
  <si>
    <t>La Aroma De Cuba  VARIETY Fresh Pac</t>
  </si>
  <si>
    <t>5 cigar Fresh packs x 10 per boat Monarch</t>
  </si>
  <si>
    <t>18/9/24-1</t>
  </si>
  <si>
    <t>19/12/24-1</t>
  </si>
  <si>
    <t>8 1957701347 0</t>
  </si>
  <si>
    <t>LAD003</t>
  </si>
  <si>
    <t>La Aroma De Cuba By Don Pepin Monach Fresh Pac</t>
  </si>
  <si>
    <t>262341+3</t>
  </si>
  <si>
    <t>21/3/23-1</t>
  </si>
  <si>
    <t>13/5/23-1</t>
  </si>
  <si>
    <t>8/8/23-1</t>
  </si>
  <si>
    <t>11/1/25-1</t>
  </si>
  <si>
    <t>LAD005</t>
  </si>
  <si>
    <t>La Aroma De Cuba Mi Amor By Don Pepin Fresh Pac</t>
  </si>
  <si>
    <t>Not availiable check 2/7/24</t>
  </si>
  <si>
    <t>246954+5</t>
  </si>
  <si>
    <t>30/12/22-1</t>
  </si>
  <si>
    <t>30/7/23-1</t>
  </si>
  <si>
    <t>12/1/24-1</t>
  </si>
  <si>
    <t>2/7/24-1</t>
  </si>
  <si>
    <t>8 1957701017 2</t>
  </si>
  <si>
    <t>LAD001</t>
  </si>
  <si>
    <t>La Aroma De Cuba Mi Amor Churchill</t>
  </si>
  <si>
    <t>277115+1</t>
  </si>
  <si>
    <t>27/10/25-1</t>
  </si>
  <si>
    <t>14/2/25-1</t>
  </si>
  <si>
    <t>20/3/25-1</t>
  </si>
  <si>
    <t>9/7/25-2</t>
  </si>
  <si>
    <t>31/7/25-1</t>
  </si>
  <si>
    <t>LAD004</t>
  </si>
  <si>
    <t>La Aroma De Cuba Mi Mor Belicoso</t>
  </si>
  <si>
    <t>BELICOSO</t>
  </si>
  <si>
    <t>8/4 273733+1</t>
  </si>
  <si>
    <t>18/1/25-1</t>
  </si>
  <si>
    <t>3/7/25 - 2</t>
  </si>
  <si>
    <t>LAD002</t>
  </si>
  <si>
    <t>La Aroma De Cuba Mi Mor Belicoso Reserva</t>
  </si>
  <si>
    <t>RESERVA BELICOSO</t>
  </si>
  <si>
    <t>277355+2</t>
  </si>
  <si>
    <t>1/12/24-1</t>
  </si>
  <si>
    <t>11/12/25-1</t>
  </si>
  <si>
    <t>12/12/25-1</t>
  </si>
  <si>
    <t>16/4/24-1</t>
  </si>
  <si>
    <t>4/9/24-1</t>
  </si>
  <si>
    <t>8 197701361 6</t>
  </si>
  <si>
    <t>LAD007</t>
  </si>
  <si>
    <t>La Aroma De Cuba Passion Marveloso</t>
  </si>
  <si>
    <t>276388+4</t>
  </si>
  <si>
    <t>30/5/25-1</t>
  </si>
  <si>
    <t>30/6/25-2</t>
  </si>
  <si>
    <t>ASY007</t>
  </si>
  <si>
    <t>Asylum</t>
  </si>
  <si>
    <t>ASYLUM 13 NICARAGUA  6 x 80</t>
  </si>
  <si>
    <t>258440+1</t>
  </si>
  <si>
    <t>22/1/25-1</t>
  </si>
  <si>
    <t>8 5002931083 9</t>
  </si>
  <si>
    <t>ASY004</t>
  </si>
  <si>
    <t>ASYLUM 13 NICARAGUA 880  8 x 80</t>
  </si>
  <si>
    <t>24/1/25-1</t>
  </si>
  <si>
    <t>11/4/25-1</t>
  </si>
  <si>
    <t>ASY006</t>
  </si>
  <si>
    <t>bc</t>
  </si>
  <si>
    <t>ASYLUM AFRIL FOOL</t>
  </si>
  <si>
    <t>enter as boxes of 1</t>
  </si>
  <si>
    <t>38231+6</t>
  </si>
  <si>
    <t>12/5/24-5</t>
  </si>
  <si>
    <t>18/7/24-5</t>
  </si>
  <si>
    <t>20/12/24-2</t>
  </si>
  <si>
    <t>3/1/25-2</t>
  </si>
  <si>
    <t>ASY005</t>
  </si>
  <si>
    <t>ASYLUM COROJO 8 x 80</t>
  </si>
  <si>
    <t>277331+1</t>
  </si>
  <si>
    <t>2/8/24-1</t>
  </si>
  <si>
    <t>8 5002931096 9</t>
  </si>
  <si>
    <t>ASY001</t>
  </si>
  <si>
    <t>ASYLUM COROJO EIGHTY 6 x 80</t>
  </si>
  <si>
    <t>26/10/22-1</t>
  </si>
  <si>
    <t>8 5002931089 1</t>
  </si>
  <si>
    <t>ASY002</t>
  </si>
  <si>
    <t>ASYLUM OGRE 8"X80 - BOX 21</t>
  </si>
  <si>
    <t>265661+6</t>
  </si>
  <si>
    <t>25/11/21-1</t>
  </si>
  <si>
    <t>4/8/23-1</t>
  </si>
  <si>
    <t>26/9/24-2</t>
  </si>
  <si>
    <t>7 423825002111</t>
  </si>
  <si>
    <t>BAR001</t>
  </si>
  <si>
    <t>Baccarat</t>
  </si>
  <si>
    <t xml:space="preserve">Baccarat Luchadore, </t>
  </si>
  <si>
    <t>---------A1547 2675419599 0</t>
  </si>
  <si>
    <t>1/8/24 -1</t>
  </si>
  <si>
    <t>25/1/25-1</t>
  </si>
  <si>
    <t>7 423825002135</t>
  </si>
  <si>
    <t>BAR002</t>
  </si>
  <si>
    <t>Baccarat Petit Corona</t>
  </si>
  <si>
    <t>3/12/24-1</t>
  </si>
  <si>
    <t>7 423825002371</t>
  </si>
  <si>
    <t>BAR003</t>
  </si>
  <si>
    <t xml:space="preserve">Baccarat Rothchild </t>
  </si>
  <si>
    <t>272347+0.4</t>
  </si>
  <si>
    <t>3/4/25-1</t>
  </si>
  <si>
    <t>22/12/23-1</t>
  </si>
  <si>
    <t>8 1857801011 2</t>
  </si>
  <si>
    <t>BLA003</t>
  </si>
  <si>
    <t>BLACKENED Drew</t>
  </si>
  <si>
    <t>3</t>
  </si>
  <si>
    <t>Blackened M81 Corona</t>
  </si>
  <si>
    <t>277285+3</t>
  </si>
  <si>
    <t>10/2/25-1</t>
  </si>
  <si>
    <t>11/02/25-2</t>
  </si>
  <si>
    <t>21/2/25-1</t>
  </si>
  <si>
    <t>26/2/25-1</t>
  </si>
  <si>
    <t>24/7/25-1</t>
  </si>
  <si>
    <t>8 1855801221 1</t>
  </si>
  <si>
    <t>BLA007</t>
  </si>
  <si>
    <t>Blackened Drew</t>
  </si>
  <si>
    <t>Blackened M81 Lancero</t>
  </si>
  <si>
    <t>39331+15</t>
  </si>
  <si>
    <t>8/12/25-2</t>
  </si>
  <si>
    <t>8 1857801009 9</t>
  </si>
  <si>
    <t>BLA</t>
  </si>
  <si>
    <t>Blackened M81 Robusto</t>
  </si>
  <si>
    <t>8/4 273733+2</t>
  </si>
  <si>
    <t>10/5/24-2</t>
  </si>
  <si>
    <t>2/10/24-1</t>
  </si>
  <si>
    <t>16/10/24-1</t>
  </si>
  <si>
    <t>8 1857801008 2</t>
  </si>
  <si>
    <t>BLA002</t>
  </si>
  <si>
    <t>Blackened M81 Toro</t>
  </si>
  <si>
    <t>24/3/25-1</t>
  </si>
  <si>
    <t>8 1857801271 0</t>
  </si>
  <si>
    <t>BLA004</t>
  </si>
  <si>
    <t>Blackened S84 Shade To black Corona</t>
  </si>
  <si>
    <t>12/5/24-1</t>
  </si>
  <si>
    <t>7/02/2025 - 1</t>
  </si>
  <si>
    <t>12/6/25-2</t>
  </si>
  <si>
    <t>25/9/25-1</t>
  </si>
  <si>
    <t>8 1855801219 8</t>
  </si>
  <si>
    <t>BLA008</t>
  </si>
  <si>
    <t>Blackened S84 Shade To black Lancero</t>
  </si>
  <si>
    <t>39331+6</t>
  </si>
  <si>
    <t>8 1857801273 4</t>
  </si>
  <si>
    <t>BLA005</t>
  </si>
  <si>
    <t>Blackened S84 Shade To black Robusto</t>
  </si>
  <si>
    <t>38074+6</t>
  </si>
  <si>
    <t>1/5/24-1</t>
  </si>
  <si>
    <t>8 1857801275 8</t>
  </si>
  <si>
    <t>BLA006</t>
  </si>
  <si>
    <t>Blackened S84 Shade To black Toro</t>
  </si>
  <si>
    <t>15/4/25-2</t>
  </si>
  <si>
    <t>2/5/25-1</t>
  </si>
  <si>
    <t>8/8/25-1</t>
  </si>
  <si>
    <t>BOL017</t>
  </si>
  <si>
    <t>BOLIVAR</t>
  </si>
  <si>
    <t>New Gold Medal</t>
  </si>
  <si>
    <t>22/2/24+1</t>
  </si>
  <si>
    <t>0 7662225211 0</t>
  </si>
  <si>
    <t>BRI007</t>
  </si>
  <si>
    <t>Brick House</t>
  </si>
  <si>
    <t>Brick House Double Conecticut Toro</t>
  </si>
  <si>
    <t>277364+1</t>
  </si>
  <si>
    <t>28/3/23-</t>
  </si>
  <si>
    <t>1/5/23-1</t>
  </si>
  <si>
    <t>0 7662225300 1</t>
  </si>
  <si>
    <t>BRI005</t>
  </si>
  <si>
    <t>BrickHouse Robusto</t>
  </si>
  <si>
    <t>29/7/22-1</t>
  </si>
  <si>
    <t>23/6/22-2</t>
  </si>
  <si>
    <t>24/9/24-1</t>
  </si>
  <si>
    <t>XMAS-2</t>
  </si>
  <si>
    <t>27/2/25-1</t>
  </si>
  <si>
    <t>8/1/25-1</t>
  </si>
  <si>
    <t>0 7662225200 4</t>
  </si>
  <si>
    <t>BRI009</t>
  </si>
  <si>
    <t>Brickhouse Toro</t>
  </si>
  <si>
    <t>11/4/23-2</t>
  </si>
  <si>
    <t>12/3/25-1</t>
  </si>
  <si>
    <t>9/5/25-1</t>
  </si>
  <si>
    <t>0 7662225100 7</t>
  </si>
  <si>
    <t>BRI003</t>
  </si>
  <si>
    <t>Brickhouse</t>
  </si>
  <si>
    <t>Brick House Corona Larga - Box 25's</t>
  </si>
  <si>
    <t>red box</t>
  </si>
  <si>
    <t>20/6/22-1</t>
  </si>
  <si>
    <t>2/6/22-1</t>
  </si>
  <si>
    <t>12/9/23-1</t>
  </si>
  <si>
    <t>30/10/24-1</t>
  </si>
  <si>
    <t>0 7662225111 3</t>
  </si>
  <si>
    <t>BRI010</t>
  </si>
  <si>
    <t>Brick House Corona Larga Dble Connecticut- Box 25's</t>
  </si>
  <si>
    <t>green box</t>
  </si>
  <si>
    <t>17/7/23-1</t>
  </si>
  <si>
    <t>0 7662219950 7</t>
  </si>
  <si>
    <t>JC003</t>
  </si>
  <si>
    <t>Diamond Crown Julius Ceasar TORO</t>
  </si>
  <si>
    <t>39331+3</t>
  </si>
  <si>
    <t>20/6/25-2</t>
  </si>
  <si>
    <t>0 7662287010 9</t>
  </si>
  <si>
    <t>QUO002</t>
  </si>
  <si>
    <t>Quorum Corona 5 1/2 x 43 bundle</t>
  </si>
  <si>
    <t>277355+5</t>
  </si>
  <si>
    <t>26/11/25-1</t>
  </si>
  <si>
    <t>0 7662287510 4</t>
  </si>
  <si>
    <t>QUO004</t>
  </si>
  <si>
    <t>Quorum Maduro corona</t>
  </si>
  <si>
    <t>277312+3</t>
  </si>
  <si>
    <t>12/5/23-1</t>
  </si>
  <si>
    <t>23/1/24-1</t>
  </si>
  <si>
    <t>28/2/24-1</t>
  </si>
  <si>
    <t>19/8/24-1</t>
  </si>
  <si>
    <t>0 7662287170 0</t>
  </si>
  <si>
    <t>QUO003</t>
  </si>
  <si>
    <t>Quorum Shade Short Robusto</t>
  </si>
  <si>
    <t>261562+3</t>
  </si>
  <si>
    <t>2/4/23-1</t>
  </si>
  <si>
    <t>19/5/23-2</t>
  </si>
  <si>
    <t>24/9/23-1</t>
  </si>
  <si>
    <t>27/11/23-2</t>
  </si>
  <si>
    <t>27/11/23-1</t>
  </si>
  <si>
    <t>28/11/24-1</t>
  </si>
  <si>
    <t>0 7662287098 7</t>
  </si>
  <si>
    <t>QUO001</t>
  </si>
  <si>
    <t>BrickHouse</t>
  </si>
  <si>
    <t>Quorum Variety Bundle Toro</t>
  </si>
  <si>
    <t>256856+3</t>
  </si>
  <si>
    <t>20/7/23-1</t>
  </si>
  <si>
    <t>18/7/25-1</t>
  </si>
  <si>
    <t>0 7662207097 4</t>
  </si>
  <si>
    <t>QUO005</t>
  </si>
  <si>
    <t xml:space="preserve">Quorum Variety Sampler TORO </t>
  </si>
  <si>
    <t>5 packs x 5 ea</t>
  </si>
  <si>
    <t>256332+19</t>
  </si>
  <si>
    <t>20/6/25-1</t>
  </si>
  <si>
    <t>23/10/25-4 xmas</t>
  </si>
  <si>
    <t>5/11/25-1</t>
  </si>
  <si>
    <t>6 3541441502 9</t>
  </si>
  <si>
    <t>CAL002</t>
  </si>
  <si>
    <t>Caldwell</t>
  </si>
  <si>
    <t>Caldwell Long Live T/King S/Churchill Petite Double Wide Short Churchill24</t>
  </si>
  <si>
    <t>8/4 273733+3</t>
  </si>
  <si>
    <t>6/3/24-1</t>
  </si>
  <si>
    <t>27/8/24-1</t>
  </si>
  <si>
    <t>1/4/25-2</t>
  </si>
  <si>
    <t>CAL003</t>
  </si>
  <si>
    <t>Caldwell Long Live the Queen - Ace of Hearts</t>
  </si>
  <si>
    <t>38074+10</t>
  </si>
  <si>
    <t>23/10/25-2</t>
  </si>
  <si>
    <t>7/5/24-2</t>
  </si>
  <si>
    <t>CAM001</t>
  </si>
  <si>
    <t>Camacho</t>
  </si>
  <si>
    <t>Camacho American Barrel Aged Robusto</t>
  </si>
  <si>
    <t>Discontinued</t>
  </si>
  <si>
    <t>233175+1</t>
  </si>
  <si>
    <t>6/9/22-1</t>
  </si>
  <si>
    <t>CAM006</t>
  </si>
  <si>
    <t>Camacho Broadleaf Robusto</t>
  </si>
  <si>
    <t>259750+1</t>
  </si>
  <si>
    <t>12/2/24-1</t>
  </si>
  <si>
    <t>7/5/24-1</t>
  </si>
  <si>
    <t>CAM007</t>
  </si>
  <si>
    <t>Camacho Connecticut  Robusto TUBO</t>
  </si>
  <si>
    <t>268413+1</t>
  </si>
  <si>
    <t>26/2/24-2</t>
  </si>
  <si>
    <t>21/7/24-1</t>
  </si>
  <si>
    <t>9/9/24-1</t>
  </si>
  <si>
    <t>CAM005</t>
  </si>
  <si>
    <t>Camacho Core Sampler</t>
  </si>
  <si>
    <t>277330+10</t>
  </si>
  <si>
    <t>13/1/25-5</t>
  </si>
  <si>
    <t>1/10/25-3</t>
  </si>
  <si>
    <t>31/10/25-2</t>
  </si>
  <si>
    <t>15/12/25-2</t>
  </si>
  <si>
    <t>12/10/24-2</t>
  </si>
  <si>
    <t>7 623500362534</t>
  </si>
  <si>
    <t>CAM008</t>
  </si>
  <si>
    <t>Camacho Corojo Robusto TUBO</t>
  </si>
  <si>
    <t>259658+3</t>
  </si>
  <si>
    <t>21/1/25-1</t>
  </si>
  <si>
    <t>CAM009</t>
  </si>
  <si>
    <t>Camacho Crillo Robusto TUBO Sampler</t>
  </si>
  <si>
    <t>Glad Bags 5 per Dispay Assortment</t>
  </si>
  <si>
    <t>259750+40</t>
  </si>
  <si>
    <t>12/2/24-5</t>
  </si>
  <si>
    <t>XMAS 35</t>
  </si>
  <si>
    <t>7 623500411775</t>
  </si>
  <si>
    <t>CAM003</t>
  </si>
  <si>
    <t>Camacho Nicaraguan  Robusto</t>
  </si>
  <si>
    <t>259262+2</t>
  </si>
  <si>
    <t>24/12/21-2</t>
  </si>
  <si>
    <t>2/5/23-1</t>
  </si>
  <si>
    <t>20/11/23-</t>
  </si>
  <si>
    <t>1/12/13-1</t>
  </si>
  <si>
    <t>11/4/24-1</t>
  </si>
  <si>
    <t>CAM004</t>
  </si>
  <si>
    <t>Camacho Nicaraguan Barrel Aged Robusto</t>
  </si>
  <si>
    <t>230659+1</t>
  </si>
  <si>
    <t>30/1/23-1</t>
  </si>
  <si>
    <t>20/11/23-1</t>
  </si>
  <si>
    <t>4/1/24-1</t>
  </si>
  <si>
    <t>7 623500 362251</t>
  </si>
  <si>
    <t>CAM002</t>
  </si>
  <si>
    <t>Camacho Triple Maduro Robusto</t>
  </si>
  <si>
    <t>277331+3</t>
  </si>
  <si>
    <t>14/5/25-2</t>
  </si>
  <si>
    <t>15/7/25-2</t>
  </si>
  <si>
    <t>CAO019</t>
  </si>
  <si>
    <t>CAO</t>
  </si>
  <si>
    <t>CAO AMAZON BASIN</t>
  </si>
  <si>
    <t>25/10/24-1</t>
  </si>
  <si>
    <t>13/3/25-1</t>
  </si>
  <si>
    <t>4/4/25-2</t>
  </si>
  <si>
    <t>6 5212500650 6</t>
  </si>
  <si>
    <t>CAO025</t>
  </si>
  <si>
    <t>CAO Brazilia Lambada</t>
  </si>
  <si>
    <t>3/8/23-1</t>
  </si>
  <si>
    <t>6/12/23-1</t>
  </si>
  <si>
    <t>6 5212500277 5</t>
  </si>
  <si>
    <t>CAO021</t>
  </si>
  <si>
    <t>CAO GOLD Sampler</t>
  </si>
  <si>
    <t>277355+10</t>
  </si>
  <si>
    <t>6/8/25-3</t>
  </si>
  <si>
    <t>22/8/25-1</t>
  </si>
  <si>
    <t>15/10/25-5</t>
  </si>
  <si>
    <t>CAO028</t>
  </si>
  <si>
    <t>CAO Ricks Picks Sampler 5 per pack</t>
  </si>
  <si>
    <t>5 per pac</t>
  </si>
  <si>
    <t>247792+20</t>
  </si>
  <si>
    <t>5/9/24-3</t>
  </si>
  <si>
    <t>19/10/23-1</t>
  </si>
  <si>
    <t>24/1/24-2</t>
  </si>
  <si>
    <t>22/3/24-3</t>
  </si>
  <si>
    <t>4/4/24-2</t>
  </si>
  <si>
    <t>CAO024</t>
  </si>
  <si>
    <t xml:space="preserve">CAO WORLD SAMPLER II 5 </t>
  </si>
  <si>
    <t>single packs</t>
  </si>
  <si>
    <t>277331+10</t>
  </si>
  <si>
    <t>15/12/25-4</t>
  </si>
  <si>
    <t>28/8/25-2</t>
  </si>
  <si>
    <t>10/11/25-2</t>
  </si>
  <si>
    <t>20/11/25-1</t>
  </si>
  <si>
    <t>6 8967411758 2</t>
  </si>
  <si>
    <t>CAO027</t>
  </si>
  <si>
    <t xml:space="preserve">CAO </t>
  </si>
  <si>
    <t>CAO Champions 111 Travel Sampler (red case)</t>
  </si>
  <si>
    <t>red case</t>
  </si>
  <si>
    <t>9/1/25-1</t>
  </si>
  <si>
    <t>10/7/25-1</t>
  </si>
  <si>
    <t>31/7/25-2</t>
  </si>
  <si>
    <t>CAS001</t>
  </si>
  <si>
    <t>Bay</t>
  </si>
  <si>
    <t>Casa Fernandez</t>
  </si>
  <si>
    <t>Casa Fernandez Miami</t>
  </si>
  <si>
    <t>35040-31/5/22+6</t>
  </si>
  <si>
    <t>2/6/22-3</t>
  </si>
  <si>
    <t>12/6/22-2</t>
  </si>
  <si>
    <t>7 467367360353</t>
  </si>
  <si>
    <t>CMR001</t>
  </si>
  <si>
    <t>Casa Magna</t>
  </si>
  <si>
    <t>Casa Magna Colorado Robusto</t>
  </si>
  <si>
    <t>39331+2</t>
  </si>
  <si>
    <t>18/6/24-1</t>
  </si>
  <si>
    <t>24/4/25-1</t>
  </si>
  <si>
    <t>Casino</t>
  </si>
  <si>
    <t>Casino Real Churchill</t>
  </si>
  <si>
    <t>35198+5</t>
  </si>
  <si>
    <t>3/9/23-1</t>
  </si>
  <si>
    <t>CAS003</t>
  </si>
  <si>
    <t>Casino Real Double Robusto</t>
  </si>
  <si>
    <t>35198+8</t>
  </si>
  <si>
    <t>12/5/23-2</t>
  </si>
  <si>
    <t>10/7/23-1</t>
  </si>
  <si>
    <t>15/10/24-1</t>
  </si>
  <si>
    <t>18/7/25-2</t>
  </si>
  <si>
    <t>CAS002</t>
  </si>
  <si>
    <t>Casino Real Double Toro</t>
  </si>
  <si>
    <t>13/5/23-2</t>
  </si>
  <si>
    <t>18/12/23-1</t>
  </si>
  <si>
    <t>8/1/24-1</t>
  </si>
  <si>
    <t>24/1/24-1</t>
  </si>
  <si>
    <t>DRE002</t>
  </si>
  <si>
    <t>Charter oak</t>
  </si>
  <si>
    <t>CHARTER OAK GRANDE HABANO BOX 20</t>
  </si>
  <si>
    <t>tins 5 per unit red check with barbara</t>
  </si>
  <si>
    <t>253271+3</t>
  </si>
  <si>
    <t>CRASAM</t>
  </si>
  <si>
    <t>CRA</t>
  </si>
  <si>
    <t>CRA SAMPLER</t>
  </si>
  <si>
    <t>38074+20</t>
  </si>
  <si>
    <t>7/5/24-5</t>
  </si>
  <si>
    <t>21/5/24-5</t>
  </si>
  <si>
    <t>0 647903845552</t>
  </si>
  <si>
    <t>CROM001</t>
  </si>
  <si>
    <t>CroMagnon</t>
  </si>
  <si>
    <t>CroMagnon Aquitaine EMH Robusto Extra</t>
  </si>
  <si>
    <t>248347+1</t>
  </si>
  <si>
    <t>7 3113240516 5</t>
  </si>
  <si>
    <t>CRH001</t>
  </si>
  <si>
    <t>Crowned Heads</t>
  </si>
  <si>
    <t>Crowned Heads Blood Medicine B Positive</t>
  </si>
  <si>
    <t>BUE003</t>
  </si>
  <si>
    <t>Curivari</t>
  </si>
  <si>
    <t>Buenaventura BV 500</t>
  </si>
  <si>
    <t>236266+2</t>
  </si>
  <si>
    <t>29/11/22-1</t>
  </si>
  <si>
    <t>2/11/22-1</t>
  </si>
  <si>
    <t>BUE002</t>
  </si>
  <si>
    <t>Buenaventura BV 560</t>
  </si>
  <si>
    <t>16/4/22-1</t>
  </si>
  <si>
    <t>18/4/22-1</t>
  </si>
  <si>
    <t>7 2675419464 1</t>
  </si>
  <si>
    <t>BUE004</t>
  </si>
  <si>
    <t>Buenaventura Pralines</t>
  </si>
  <si>
    <t>240232+2</t>
  </si>
  <si>
    <t>22/9/22-3</t>
  </si>
  <si>
    <t>20/6/22-3</t>
  </si>
  <si>
    <t>7 2675419599 0</t>
  </si>
  <si>
    <t>BUE005</t>
  </si>
  <si>
    <t>BUENAVENTURA VARIETY SAMP 5's</t>
  </si>
  <si>
    <t>14/12/22-1</t>
  </si>
  <si>
    <t>CUR002</t>
  </si>
  <si>
    <t>Curivari Reserva Lim. Café Noir 54</t>
  </si>
  <si>
    <t>266999+2</t>
  </si>
  <si>
    <t>13/3/23-1</t>
  </si>
  <si>
    <t>20/4/22-2</t>
  </si>
  <si>
    <t>CUR003</t>
  </si>
  <si>
    <t>Curivari Reserva Lim. Café Noir 62</t>
  </si>
  <si>
    <t>8/11/21-1</t>
  </si>
  <si>
    <t>7 2675419598 3</t>
  </si>
  <si>
    <t>CUR001</t>
  </si>
  <si>
    <t>CURIVARI VARIETY SAMPLER 10 PER BOX</t>
  </si>
  <si>
    <t>272892+2</t>
  </si>
  <si>
    <t>2/10/24-2</t>
  </si>
  <si>
    <t>19/6/25-3f ,c,c,,,,,,,,,,,,,,,,,,,,,,,,,,,,,,,,,,,,,,,,,,,,,,,,,,,,ck</t>
  </si>
  <si>
    <t>DAV081</t>
  </si>
  <si>
    <t>Davidoff</t>
  </si>
  <si>
    <t>3 x 3 Tubos By Davidoff ROBUSTO</t>
  </si>
  <si>
    <t>35040-31/5/22+10</t>
  </si>
  <si>
    <t>31/10/22-3</t>
  </si>
  <si>
    <t>7 623500465198</t>
  </si>
  <si>
    <t>AVO012</t>
  </si>
  <si>
    <t>AVO A Core Robusto Sampler</t>
  </si>
  <si>
    <t>276388+20</t>
  </si>
  <si>
    <t>AVO021</t>
  </si>
  <si>
    <t>AVO Classic NO.2 6"X50 4 PACK</t>
  </si>
  <si>
    <t>7/12/21-3</t>
  </si>
  <si>
    <t>SPEC</t>
  </si>
  <si>
    <t>AVO Improvisation LE22 Robusto grande</t>
  </si>
  <si>
    <t>237162+2</t>
  </si>
  <si>
    <t>7 623500246049</t>
  </si>
  <si>
    <t>AVO011</t>
  </si>
  <si>
    <t>Avo Syncro Nicaragua, Robusto BP, (5 x 50), 20 per box</t>
  </si>
  <si>
    <t>20/9/22-1</t>
  </si>
  <si>
    <t>10/8/23-2</t>
  </si>
  <si>
    <t>12/1/25-1</t>
  </si>
  <si>
    <t>17/x Padron 1926 Serie No.90 Tubos Natural 10s - 7g ea9/25-1</t>
  </si>
  <si>
    <t>7 623500245967</t>
  </si>
  <si>
    <t>AVO001</t>
  </si>
  <si>
    <t>AVO XO Maestoso Churchill box of 20</t>
  </si>
  <si>
    <t>consider dropping</t>
  </si>
  <si>
    <t>15/10/22-1</t>
  </si>
  <si>
    <t>14/10/22-2</t>
  </si>
  <si>
    <t>18/9/25-1</t>
  </si>
  <si>
    <t>7 623500387025</t>
  </si>
  <si>
    <t>DAVBB</t>
  </si>
  <si>
    <t>Back 2 Back Urny Connecticut 7 x 70</t>
  </si>
  <si>
    <t xml:space="preserve">"box of 30 </t>
  </si>
  <si>
    <t>254965+1 10/9</t>
  </si>
  <si>
    <t>h</t>
  </si>
  <si>
    <t>L</t>
  </si>
  <si>
    <t>7 623500387032</t>
  </si>
  <si>
    <t>bundle of 10</t>
  </si>
  <si>
    <t>246808+3</t>
  </si>
  <si>
    <t>30/6/23-1</t>
  </si>
  <si>
    <t>20/8/24-1</t>
  </si>
  <si>
    <t>DAVBBN</t>
  </si>
  <si>
    <t>Back 2 Back Urny Nicaragua 6 x 60</t>
  </si>
  <si>
    <t>box of 50</t>
  </si>
  <si>
    <t>250124+1</t>
  </si>
  <si>
    <t>21/1/22-1</t>
  </si>
  <si>
    <t>7 623500386967</t>
  </si>
  <si>
    <t>DAVBBN70</t>
  </si>
  <si>
    <t>Back 2 Back Urny Nicaragua 7 x 70</t>
  </si>
  <si>
    <t>box of 30</t>
  </si>
  <si>
    <t>251703+1</t>
  </si>
  <si>
    <t>1/6/23-1</t>
  </si>
  <si>
    <t>0 797865003023</t>
  </si>
  <si>
    <t>CUS006</t>
  </si>
  <si>
    <t>DAVIDOFF</t>
  </si>
  <si>
    <t>Cusano Celebrity Robusto Sampler</t>
  </si>
  <si>
    <t>277348+10</t>
  </si>
  <si>
    <t>7/10/25-2</t>
  </si>
  <si>
    <t>15/3/24-1</t>
  </si>
  <si>
    <t>18/3/24-4</t>
  </si>
  <si>
    <t>0 797865510224</t>
  </si>
  <si>
    <t>CUS002</t>
  </si>
  <si>
    <t>Cusano M-1 Corona connecticut</t>
  </si>
  <si>
    <t>255709+5</t>
  </si>
  <si>
    <t>9/11/24-1</t>
  </si>
  <si>
    <t>7/9/23-1</t>
  </si>
  <si>
    <t>0 797865510125</t>
  </si>
  <si>
    <t>CUS003</t>
  </si>
  <si>
    <t>Cusano M1 Robusto - 20 bundle</t>
  </si>
  <si>
    <t>5/6/25 275802+2</t>
  </si>
  <si>
    <t>27/9/24-2</t>
  </si>
  <si>
    <t>7/10/24-1</t>
  </si>
  <si>
    <t>28/3/25-1</t>
  </si>
  <si>
    <t>29/5/25-2</t>
  </si>
  <si>
    <t>0 797865520421</t>
  </si>
  <si>
    <t>CUS005</t>
  </si>
  <si>
    <t>Cusano P-1 Churchill sweet Maduro</t>
  </si>
  <si>
    <t>277331+6</t>
  </si>
  <si>
    <t>14/11/25-1</t>
  </si>
  <si>
    <t>21/10/25-2</t>
  </si>
  <si>
    <t>10/11/25-1</t>
  </si>
  <si>
    <t>0 797865520124</t>
  </si>
  <si>
    <t>CUS001</t>
  </si>
  <si>
    <t>Cusano P-1 Robusto Maduro</t>
  </si>
  <si>
    <t>250946+5</t>
  </si>
  <si>
    <t>20/6/23-1</t>
  </si>
  <si>
    <t>0 797865520520</t>
  </si>
  <si>
    <t>CUS004</t>
  </si>
  <si>
    <t>Cusano P-1 Torpedo Maduro</t>
  </si>
  <si>
    <t>247917+13</t>
  </si>
  <si>
    <t>7 623500487459</t>
  </si>
  <si>
    <t>DAV007</t>
  </si>
  <si>
    <t>Davidoff Anniversary No.1 Limited Edicion</t>
  </si>
  <si>
    <t>39331+5</t>
  </si>
  <si>
    <t>21/5/24-2</t>
  </si>
  <si>
    <t>25/10/24-2</t>
  </si>
  <si>
    <t>28/1/25-2</t>
  </si>
  <si>
    <t>8/9/25-2</t>
  </si>
  <si>
    <t>7 623500711998</t>
  </si>
  <si>
    <t>DAV107</t>
  </si>
  <si>
    <t>Davidoff Chefs Edicion</t>
  </si>
  <si>
    <t>DAV027</t>
  </si>
  <si>
    <t>Davidoff Demi-Tasse packet of 10</t>
  </si>
  <si>
    <t>5 pacs per outer</t>
  </si>
  <si>
    <t>247393+1</t>
  </si>
  <si>
    <t>4/11/22-5</t>
  </si>
  <si>
    <t>7 623500712001</t>
  </si>
  <si>
    <t>DAV104</t>
  </si>
  <si>
    <t>Davidoff Escurio 10TH ANNIVERSARY 12's</t>
  </si>
  <si>
    <t>24/4 39319+5</t>
  </si>
  <si>
    <t>7 623500362909</t>
  </si>
  <si>
    <t>DAV089</t>
  </si>
  <si>
    <t xml:space="preserve">Davidoff Escurio Petite Robustos </t>
  </si>
  <si>
    <t>27/4/23-1</t>
  </si>
  <si>
    <t>9/2/23-1</t>
  </si>
  <si>
    <t>25/7/23-1</t>
  </si>
  <si>
    <t>7/6/24-2</t>
  </si>
  <si>
    <t>6/5/25-1</t>
  </si>
  <si>
    <t>19/8/25-1</t>
  </si>
  <si>
    <t>7 623500368079</t>
  </si>
  <si>
    <t>DAV078</t>
  </si>
  <si>
    <t>Davidoff Escurio Robustos Tubos 12's</t>
  </si>
  <si>
    <t>36062-11/6/22+3</t>
  </si>
  <si>
    <t>24/4/23-1</t>
  </si>
  <si>
    <t>27/6/23-1</t>
  </si>
  <si>
    <t>5/12/23-1</t>
  </si>
  <si>
    <t>5/3/24-1</t>
  </si>
  <si>
    <t>7 623500441116</t>
  </si>
  <si>
    <t>DAV091</t>
  </si>
  <si>
    <t>Davidoff Gift Set Figurado Sampler</t>
  </si>
  <si>
    <t>sampler</t>
  </si>
  <si>
    <t>8/6/23-2</t>
  </si>
  <si>
    <t>13/10/23-1</t>
  </si>
  <si>
    <t>19/3/24-1</t>
  </si>
  <si>
    <t>16/7/24-1</t>
  </si>
  <si>
    <t>7 623500187466</t>
  </si>
  <si>
    <t>DAV102</t>
  </si>
  <si>
    <t>Davidoff Gran Cru Diademas Finos Limited Edition</t>
  </si>
  <si>
    <t>38231+5</t>
  </si>
  <si>
    <t>7 623500363180</t>
  </si>
  <si>
    <t>DAV015</t>
  </si>
  <si>
    <t xml:space="preserve">Davidoff Grand Cru #2 - 25s </t>
  </si>
  <si>
    <t>39331+4</t>
  </si>
  <si>
    <t>26/6/24-1</t>
  </si>
  <si>
    <t>DAV045</t>
  </si>
  <si>
    <t>Davidoff LE 2022 Grand Toro</t>
  </si>
  <si>
    <t>19/5/23-1</t>
  </si>
  <si>
    <t>DAV028</t>
  </si>
  <si>
    <t>COH</t>
  </si>
  <si>
    <t>Davidoff Long Panatellas 10s</t>
  </si>
  <si>
    <t>5/7/21-10</t>
  </si>
  <si>
    <t>DAV084</t>
  </si>
  <si>
    <t>Davidoff Long Panatellas 25s</t>
  </si>
  <si>
    <t>22/10/21-2</t>
  </si>
  <si>
    <t>7 623500363364</t>
  </si>
  <si>
    <t>DAV093</t>
  </si>
  <si>
    <t>Davidoff Milenium Short Robusto</t>
  </si>
  <si>
    <t>4/3/23-1</t>
  </si>
  <si>
    <t>19/07/2024-1</t>
  </si>
  <si>
    <t>DAV094</t>
  </si>
  <si>
    <t>SCH</t>
  </si>
  <si>
    <t>Davidoff Millinium Lancero LE Collection 2023</t>
  </si>
  <si>
    <t>30/10/23-1</t>
  </si>
  <si>
    <t>7 623500306972</t>
  </si>
  <si>
    <t>DAV031</t>
  </si>
  <si>
    <t>Davidoff Mini Cigarillo Gold 10s</t>
  </si>
  <si>
    <t>10 Packets x 10</t>
  </si>
  <si>
    <t>24/4 274091+8</t>
  </si>
  <si>
    <t>11/7/25-3</t>
  </si>
  <si>
    <t>9/10/25-1</t>
  </si>
  <si>
    <t>9/4/25-2</t>
  </si>
  <si>
    <t>21/4/25-1all</t>
  </si>
  <si>
    <t>DAV105</t>
  </si>
  <si>
    <t>Davidoff Mini Cigarillo Gold 20s</t>
  </si>
  <si>
    <t>5 Packets x 20</t>
  </si>
  <si>
    <t>277314+6</t>
  </si>
  <si>
    <t>16/7/25 -1</t>
  </si>
  <si>
    <t>16/9/25-1</t>
  </si>
  <si>
    <t>30/10/25-1</t>
  </si>
  <si>
    <t>7/6/24-3</t>
  </si>
  <si>
    <t>11/9/24-1</t>
  </si>
  <si>
    <t>7 623500306934</t>
  </si>
  <si>
    <t>DAV030</t>
  </si>
  <si>
    <t>Davidoff Mini Cigarillo Gold 50s</t>
  </si>
  <si>
    <t>50 per box order - check</t>
  </si>
  <si>
    <t>11/4/25-2</t>
  </si>
  <si>
    <t>1/5/25-4</t>
  </si>
  <si>
    <t>24/9+/25-1</t>
  </si>
  <si>
    <t>13/3/25-2</t>
  </si>
  <si>
    <t>7 623500353457</t>
  </si>
  <si>
    <t>DAV025</t>
  </si>
  <si>
    <t>Davidoff Mini Cigarillo Silver 20's</t>
  </si>
  <si>
    <t>277314+11</t>
  </si>
  <si>
    <t>3/9/25-1</t>
  </si>
  <si>
    <t>1/10/25-1</t>
  </si>
  <si>
    <t>14/10/25-1</t>
  </si>
  <si>
    <t>31/10/25-1</t>
  </si>
  <si>
    <t>7 623500420791</t>
  </si>
  <si>
    <t>DAV029</t>
  </si>
  <si>
    <t>Davidoff Mini Cigarillo Silver 50's</t>
  </si>
  <si>
    <t>50 per box</t>
  </si>
  <si>
    <t>272892+10</t>
  </si>
  <si>
    <t>24/2/25-3</t>
  </si>
  <si>
    <t>27/2/25-3</t>
  </si>
  <si>
    <t>21/6/24-2</t>
  </si>
  <si>
    <t>11/9/24-2</t>
  </si>
  <si>
    <t>7 623500362794</t>
  </si>
  <si>
    <t>DAV097</t>
  </si>
  <si>
    <t>Davidoff Nicaragua Diademas</t>
  </si>
  <si>
    <t>17/1/24-1</t>
  </si>
  <si>
    <t>21/11/24-1</t>
  </si>
  <si>
    <t>7 623500367928</t>
  </si>
  <si>
    <t>DAV0974</t>
  </si>
  <si>
    <t>Davidoff Nicaragua Diademas Box of 4</t>
  </si>
  <si>
    <t>5 boxes</t>
  </si>
  <si>
    <t>27288+10</t>
  </si>
  <si>
    <t>7/6/24-5</t>
  </si>
  <si>
    <t>7 623500510782</t>
  </si>
  <si>
    <t>DAV095</t>
  </si>
  <si>
    <t>Davidoff NICARAGUA LIMITED EDITION Gran Toro 2023</t>
  </si>
  <si>
    <t>order 2 max 22/10/24</t>
  </si>
  <si>
    <t>36028+2</t>
  </si>
  <si>
    <t>24/7/23-1</t>
  </si>
  <si>
    <t>22/10/24-2</t>
  </si>
  <si>
    <t>7 623500367935</t>
  </si>
  <si>
    <t>DAV100</t>
  </si>
  <si>
    <t>Davidoff Nicaragua Robusto Boxed Pressed</t>
  </si>
  <si>
    <t>6/8/25-1</t>
  </si>
  <si>
    <t>14/3/24-2</t>
  </si>
  <si>
    <t>18/6/24-2</t>
  </si>
  <si>
    <t>15/8/24-1</t>
  </si>
  <si>
    <t>22/10/24-1</t>
  </si>
  <si>
    <t>7 623500368000</t>
  </si>
  <si>
    <t>DAV098</t>
  </si>
  <si>
    <t>Davidoff Nicaragua Robusto TUBO</t>
  </si>
  <si>
    <t>7 623500367973</t>
  </si>
  <si>
    <t>DAV099</t>
  </si>
  <si>
    <t>Davidoff Nicaragua Toro Boxed Pressed</t>
  </si>
  <si>
    <t>29/1/24-1</t>
  </si>
  <si>
    <t>7 623500441123</t>
  </si>
  <si>
    <t>DAV077</t>
  </si>
  <si>
    <t>Davidoff Premium Selection 9 cigar sampler</t>
  </si>
  <si>
    <t>Sampler EMRE</t>
  </si>
  <si>
    <t>39331+10</t>
  </si>
  <si>
    <t>DAV041</t>
  </si>
  <si>
    <t>Davidoff Primeros Classic Dominican Maduro Tin 6</t>
  </si>
  <si>
    <t>5 per unit</t>
  </si>
  <si>
    <t>277314+3</t>
  </si>
  <si>
    <t>19/02/25-1</t>
  </si>
  <si>
    <t>30/4/25-1</t>
  </si>
  <si>
    <t>19/1/25-1</t>
  </si>
  <si>
    <t>7 623500367751</t>
  </si>
  <si>
    <t>DAV042</t>
  </si>
  <si>
    <t>Davidoff Primeros Classic Dominican Tin 6 Nat</t>
  </si>
  <si>
    <t>4/11/25-3</t>
  </si>
  <si>
    <t>7 623500367805</t>
  </si>
  <si>
    <t>DAV043</t>
  </si>
  <si>
    <t>Davidoff Primeros Nicaragua  Tin 6 Nat</t>
  </si>
  <si>
    <t>4/11/25-2</t>
  </si>
  <si>
    <t>7/11/25-1</t>
  </si>
  <si>
    <t>15/1/25-1</t>
  </si>
  <si>
    <t>7 623500367812</t>
  </si>
  <si>
    <t>DAV040</t>
  </si>
  <si>
    <t>Davidoff Primeros Nicaragua Maduro Tin 6 black</t>
  </si>
  <si>
    <t>8/7/25-1</t>
  </si>
  <si>
    <t>24/5/24-1</t>
  </si>
  <si>
    <t>7 623500441109</t>
  </si>
  <si>
    <t>DAV044</t>
  </si>
  <si>
    <t>Davidoff Robusto Sampler</t>
  </si>
  <si>
    <t>24/10/25-3</t>
  </si>
  <si>
    <t>3/12/25-3</t>
  </si>
  <si>
    <t>7 623500172065</t>
  </si>
  <si>
    <t>DAVRRR</t>
  </si>
  <si>
    <t>Davidoff Royal Release Robusto</t>
  </si>
  <si>
    <t>35166+5</t>
  </si>
  <si>
    <t>7/3/23-1</t>
  </si>
  <si>
    <t>28/3/23-1</t>
  </si>
  <si>
    <t>6/8/24-1</t>
  </si>
  <si>
    <t>7 623500367843</t>
  </si>
  <si>
    <t>DAV010</t>
  </si>
  <si>
    <t>Davidoff Signature 2000 Tubo</t>
  </si>
  <si>
    <t>15/1/24-1</t>
  </si>
  <si>
    <t>31/5/24-1</t>
  </si>
  <si>
    <t>7 623500367867</t>
  </si>
  <si>
    <t>DAV080</t>
  </si>
  <si>
    <t>Davidoff Signature No.2 tubos box - 20's</t>
  </si>
  <si>
    <t>38244+4</t>
  </si>
  <si>
    <t>16/5/25-1</t>
  </si>
  <si>
    <t>7 623500367683</t>
  </si>
  <si>
    <t>DAV020</t>
  </si>
  <si>
    <t>Davidoff Special "R" TUBOS</t>
  </si>
  <si>
    <t>38194+5</t>
  </si>
  <si>
    <t>24/6/24-1</t>
  </si>
  <si>
    <t>7 623500364132</t>
  </si>
  <si>
    <t>DAV072</t>
  </si>
  <si>
    <t>Davidoff The Late Hour - Robusto Box 20</t>
  </si>
  <si>
    <t>20/11/23-2</t>
  </si>
  <si>
    <t>8/4/25-1</t>
  </si>
  <si>
    <t>7 623500364118</t>
  </si>
  <si>
    <t>DAV076</t>
  </si>
  <si>
    <t>Davidoff The Late Hour WC - Churchill 20's</t>
  </si>
  <si>
    <t>39211+3</t>
  </si>
  <si>
    <t>4/10/24-2</t>
  </si>
  <si>
    <t>1/1/25-1</t>
  </si>
  <si>
    <t>22/10/25-2</t>
  </si>
  <si>
    <t>7 623500362800</t>
  </si>
  <si>
    <t>DAV073</t>
  </si>
  <si>
    <t>Davidoff Winston Churchill - Box of 20</t>
  </si>
  <si>
    <t>39411+4</t>
  </si>
  <si>
    <t>7 623500712018</t>
  </si>
  <si>
    <t>DAV103</t>
  </si>
  <si>
    <t>Davidoff Winston Churchill LE 2025</t>
  </si>
  <si>
    <t>24/4 39319+2</t>
  </si>
  <si>
    <t>DAV088</t>
  </si>
  <si>
    <t>Davidoff Winston Churchill Petite Corona- Box of 20</t>
  </si>
  <si>
    <t>38074+5</t>
  </si>
  <si>
    <t>26/2/24-1</t>
  </si>
  <si>
    <t>14/12/24-1</t>
  </si>
  <si>
    <t>7 623500368109</t>
  </si>
  <si>
    <t>DAV101</t>
  </si>
  <si>
    <t>Davidoff Winston Churchill Petite PANATELA tin of 5</t>
  </si>
  <si>
    <t>tin of 5 x 5</t>
  </si>
  <si>
    <t>277330+5</t>
  </si>
  <si>
    <t>7 623500362831</t>
  </si>
  <si>
    <t>DAV092</t>
  </si>
  <si>
    <t>Davidoff Winston Churchill Robusto</t>
  </si>
  <si>
    <t>38194+2</t>
  </si>
  <si>
    <t>16/5/24-1</t>
  </si>
  <si>
    <t>16/8/24-1</t>
  </si>
  <si>
    <t>19/8/24-2</t>
  </si>
  <si>
    <t>3/2/25-2</t>
  </si>
  <si>
    <t>7 623500282863</t>
  </si>
  <si>
    <t>DAV046</t>
  </si>
  <si>
    <t xml:space="preserve">Davidoff YAMASA TORO </t>
  </si>
  <si>
    <t>22/5/23-2</t>
  </si>
  <si>
    <t>4/12/24-2</t>
  </si>
  <si>
    <t>DAVDR</t>
  </si>
  <si>
    <t>Davidoff Year of the Dragon</t>
  </si>
  <si>
    <t>DAVRAB</t>
  </si>
  <si>
    <t>Davidoff Year of the Rabbit</t>
  </si>
  <si>
    <t>One Off</t>
  </si>
  <si>
    <t>35175+3</t>
  </si>
  <si>
    <t>11/1/23-1</t>
  </si>
  <si>
    <t>12/1/23-1</t>
  </si>
  <si>
    <t>7 623500714128</t>
  </si>
  <si>
    <t>DAVSN</t>
  </si>
  <si>
    <t>Davidoff Year of the Snake</t>
  </si>
  <si>
    <t>5/6/25-1</t>
  </si>
  <si>
    <t>7 623500422647</t>
  </si>
  <si>
    <t>DAV083</t>
  </si>
  <si>
    <t>ZINO Nic Short Torpedo</t>
  </si>
  <si>
    <t>7 623500528237</t>
  </si>
  <si>
    <t>DAV096</t>
  </si>
  <si>
    <t>Zino Nicaragua, Half Corona Pre-cut, 5 tins/5 each, 4 x 44, 25 cigars</t>
  </si>
  <si>
    <t>5 tins of 5</t>
  </si>
  <si>
    <t>258440+15</t>
  </si>
  <si>
    <t>4/9/25-1</t>
  </si>
  <si>
    <t>7 623500368482</t>
  </si>
  <si>
    <t>DAV087</t>
  </si>
  <si>
    <t>ZINO Platinum Scepter - Grand Master Tubo</t>
  </si>
  <si>
    <t>4/3/24-1</t>
  </si>
  <si>
    <t>19/7/24-1</t>
  </si>
  <si>
    <t>7 623500399172</t>
  </si>
  <si>
    <t>DAV085</t>
  </si>
  <si>
    <t>ZINO Platinum Scepter CHUBBY - Tin of 12</t>
  </si>
  <si>
    <t>250429+4</t>
  </si>
  <si>
    <t>23/6/22-1</t>
  </si>
  <si>
    <t>30/7/24-1</t>
  </si>
  <si>
    <t>10/9/24-1</t>
  </si>
  <si>
    <t>DAV035</t>
  </si>
  <si>
    <t>ZINO Platinum Scepter Stout - Tin of 12</t>
  </si>
  <si>
    <t>1/9/21-1</t>
  </si>
  <si>
    <t>5/4/22-1</t>
  </si>
  <si>
    <t>7 623500422528</t>
  </si>
  <si>
    <t>DAV106</t>
  </si>
  <si>
    <t xml:space="preserve">ZINO Robusto </t>
  </si>
  <si>
    <t>DAV082</t>
  </si>
  <si>
    <t>ZINO Robusto FRESHPACK</t>
  </si>
  <si>
    <t>277325+1 18/9/25</t>
  </si>
  <si>
    <t>15/12/23-1</t>
  </si>
  <si>
    <t>12/8/25-3p</t>
  </si>
  <si>
    <t>7 623500422597</t>
  </si>
  <si>
    <t>DAV086</t>
  </si>
  <si>
    <t>ZINO TORO FRESHPACK</t>
  </si>
  <si>
    <t>277299+5PACS</t>
  </si>
  <si>
    <t>25/12/22-1</t>
  </si>
  <si>
    <t>24/8/23-4</t>
  </si>
  <si>
    <t>8/11/23-3</t>
  </si>
  <si>
    <t>16/12/24-3pacs</t>
  </si>
  <si>
    <t>10/10/25-6</t>
  </si>
  <si>
    <t>HAV003</t>
  </si>
  <si>
    <t>Miami</t>
  </si>
  <si>
    <t>Don Lino</t>
  </si>
  <si>
    <t>Habanito By Don Lino</t>
  </si>
  <si>
    <t>52657+1</t>
  </si>
  <si>
    <t>9/1/23-1</t>
  </si>
  <si>
    <t>26/7/22-1</t>
  </si>
  <si>
    <t>8 1857801373 1</t>
  </si>
  <si>
    <t>DEA002</t>
  </si>
  <si>
    <t>Drew Estate</t>
  </si>
  <si>
    <t>Deadwood Baby Jane  (sweet jane) - Tin of 10</t>
  </si>
  <si>
    <t>5 Tins per unit</t>
  </si>
  <si>
    <t>26/11/25-2</t>
  </si>
  <si>
    <t>4/12/25-2</t>
  </si>
  <si>
    <t>9/12/25-3</t>
  </si>
  <si>
    <t>DEA004</t>
  </si>
  <si>
    <t>Deadwood Crazy Alice</t>
  </si>
  <si>
    <t>254721+3 5/9</t>
  </si>
  <si>
    <t>3/2/23-1</t>
  </si>
  <si>
    <t>24/7/24-1</t>
  </si>
  <si>
    <t>10/2/25-2</t>
  </si>
  <si>
    <t>DEA006</t>
  </si>
  <si>
    <t>Deadwood Dia De Los Muertos</t>
  </si>
  <si>
    <t>268413+3</t>
  </si>
  <si>
    <t>17/10/24-1</t>
  </si>
  <si>
    <t>19/11/24-2</t>
  </si>
  <si>
    <t>8 1855801160 3</t>
  </si>
  <si>
    <t>DEA007</t>
  </si>
  <si>
    <t>DEADWOOD Dominicana Preuena</t>
  </si>
  <si>
    <t>275867+4</t>
  </si>
  <si>
    <t>19/6/25-1</t>
  </si>
  <si>
    <t>DEA008</t>
  </si>
  <si>
    <t>DEADWOOD Dominicana Robusto</t>
  </si>
  <si>
    <t>275867+3</t>
  </si>
  <si>
    <t>DEA005</t>
  </si>
  <si>
    <t>Deadwood Fat Bottom Betty - Box 10</t>
  </si>
  <si>
    <t>266391+5</t>
  </si>
  <si>
    <t>8/11/24-2</t>
  </si>
  <si>
    <t>15/12/24-1</t>
  </si>
  <si>
    <t>17/1/25-1</t>
  </si>
  <si>
    <t>3/3/24-1</t>
  </si>
  <si>
    <t>DEA003</t>
  </si>
  <si>
    <t>Deadwood Leather Rose - DE - 25s</t>
  </si>
  <si>
    <t>262534+1</t>
  </si>
  <si>
    <t>7/12/23-1</t>
  </si>
  <si>
    <t>29/9/24-1</t>
  </si>
  <si>
    <t>8 7674200510 4</t>
  </si>
  <si>
    <t>DEA001</t>
  </si>
  <si>
    <t>DEADWOOD Sweet Jane Corona  24</t>
  </si>
  <si>
    <t>5/11/24-2</t>
  </si>
  <si>
    <t>DRE010</t>
  </si>
  <si>
    <t>Drew Estate Traditional Tubo sampler</t>
  </si>
  <si>
    <t>16/08/1-1</t>
  </si>
  <si>
    <t>13/1/22-1</t>
  </si>
  <si>
    <t>21/3/23-2</t>
  </si>
  <si>
    <t>4/12/23-1</t>
  </si>
  <si>
    <t>6/8/25-2</t>
  </si>
  <si>
    <t>DRE017</t>
  </si>
  <si>
    <t>Drew Estate TRDITIONAL Assortment Dispay</t>
  </si>
  <si>
    <t>5 samplers to a pack</t>
  </si>
  <si>
    <t>16/08/1-5</t>
  </si>
  <si>
    <t>13/1/22-5</t>
  </si>
  <si>
    <t>25/7/22-5</t>
  </si>
  <si>
    <t>7/2/24-1</t>
  </si>
  <si>
    <t>22/5/24-1</t>
  </si>
  <si>
    <t>8 1857801004 4</t>
  </si>
  <si>
    <t>DRE014</t>
  </si>
  <si>
    <t>FACTORY SMOKE Maduro CHURCHILL 25</t>
  </si>
  <si>
    <t>277364+3</t>
  </si>
  <si>
    <t>19/6/24-1</t>
  </si>
  <si>
    <t>4/8/24-1</t>
  </si>
  <si>
    <t>14/8/24-1</t>
  </si>
  <si>
    <t>8 1857801018 1</t>
  </si>
  <si>
    <t>DRE013</t>
  </si>
  <si>
    <t>FACTORY SMOKE SG ROB 25</t>
  </si>
  <si>
    <t>277348+1</t>
  </si>
  <si>
    <t>18/7/23-1</t>
  </si>
  <si>
    <t>16/8/23-1</t>
  </si>
  <si>
    <t>DRE015</t>
  </si>
  <si>
    <t>FACTORY SMOKES M GORDITO 25</t>
  </si>
  <si>
    <t>18/3/22-1</t>
  </si>
  <si>
    <t>26/9/22-1</t>
  </si>
  <si>
    <t>DRE011</t>
  </si>
  <si>
    <t>FACTORY SMOKES Maduro  TORO 25</t>
  </si>
  <si>
    <t>249867+1</t>
  </si>
  <si>
    <t>15/7/22-1</t>
  </si>
  <si>
    <t>8 1857801013 6</t>
  </si>
  <si>
    <t>DRE016</t>
  </si>
  <si>
    <t>FACTORY SMOKES SHAD TORO 20</t>
  </si>
  <si>
    <t>249867+2</t>
  </si>
  <si>
    <t>24/2/23-1</t>
  </si>
  <si>
    <t>DRE012</t>
  </si>
  <si>
    <t>FACTORY SMOKES SWT TORO 20</t>
  </si>
  <si>
    <t>16/11/22-1</t>
  </si>
  <si>
    <t>13/2/23-1</t>
  </si>
  <si>
    <t>8 7674200032 1</t>
  </si>
  <si>
    <t>Ids001</t>
  </si>
  <si>
    <t>Isla Del Sol  Grand Corona</t>
  </si>
  <si>
    <t>19/4 273893+3</t>
  </si>
  <si>
    <t>8 1857801703 6</t>
  </si>
  <si>
    <t>Ids002</t>
  </si>
  <si>
    <t>Isla Del Sol Mad Grand Corona</t>
  </si>
  <si>
    <t>1/8/25-1</t>
  </si>
  <si>
    <t>8 7674200974 4</t>
  </si>
  <si>
    <t>KFC001</t>
  </si>
  <si>
    <t>Kentucky Fire Cured - Chunky (4"x46) 10s</t>
  </si>
  <si>
    <t>276388+3</t>
  </si>
  <si>
    <t>11/9/23-2</t>
  </si>
  <si>
    <t>11/7/24-1</t>
  </si>
  <si>
    <t>19/3/25-1</t>
  </si>
  <si>
    <t>KFC002</t>
  </si>
  <si>
    <t>Kentucky Fire Cured - Hamhocks 10s</t>
  </si>
  <si>
    <t>247917+3</t>
  </si>
  <si>
    <t>KFC004</t>
  </si>
  <si>
    <t>Kentucky Fire Cured FAT MOLLY 10S</t>
  </si>
  <si>
    <t>24/4 274091+3</t>
  </si>
  <si>
    <t>5/5/23-1</t>
  </si>
  <si>
    <t>29/7/25-2</t>
  </si>
  <si>
    <t>LAV003</t>
  </si>
  <si>
    <t>La Vieja Habana, Brazilian maduro Chatue Corona</t>
  </si>
  <si>
    <t>236688+1</t>
  </si>
  <si>
    <t>LAV002</t>
  </si>
  <si>
    <t>La Vieja Habana, Brazilian maduro Rothchild Luxo</t>
  </si>
  <si>
    <t>236479+1</t>
  </si>
  <si>
    <t>LAV004</t>
  </si>
  <si>
    <t>La Vieja Habana, connecticut Rothchild Luxo</t>
  </si>
  <si>
    <t>240700+2</t>
  </si>
  <si>
    <t>LAV001</t>
  </si>
  <si>
    <t>La Vieja Habana, Cuban Corojo Bombero</t>
  </si>
  <si>
    <t>239209-31/5/22+3</t>
  </si>
  <si>
    <t>7/7/22-1</t>
  </si>
  <si>
    <t>2/9/23-1</t>
  </si>
  <si>
    <t>DRE004</t>
  </si>
  <si>
    <t>Larutan Larutan Sampler 6's</t>
  </si>
  <si>
    <t>25/11/22-7</t>
  </si>
  <si>
    <t>19/07/22-2</t>
  </si>
  <si>
    <t>LIG002</t>
  </si>
  <si>
    <t>LIGA PRIVADA #9 Flying Pig</t>
  </si>
  <si>
    <t>244945+2</t>
  </si>
  <si>
    <t>27/6/22-1</t>
  </si>
  <si>
    <t>28/12/23-1</t>
  </si>
  <si>
    <t>LIG006</t>
  </si>
  <si>
    <t>LIGA PRIVADA 9 TASTING SAMPLER 5CT</t>
  </si>
  <si>
    <t>228778+1</t>
  </si>
  <si>
    <t>23/3/22-5</t>
  </si>
  <si>
    <t>28/6/22-1</t>
  </si>
  <si>
    <t>8 7674200940 9</t>
  </si>
  <si>
    <t>LIG008</t>
  </si>
  <si>
    <t>?&gt;????</t>
  </si>
  <si>
    <t>LIGA PRIVADA Ferel Flying Pig</t>
  </si>
  <si>
    <t>277355+1</t>
  </si>
  <si>
    <t>31/3/22-2</t>
  </si>
  <si>
    <t>LIG004</t>
  </si>
  <si>
    <t>LIGA PRIVADA No.9 CORONETS</t>
  </si>
  <si>
    <t>5 TINS OF 10 EA</t>
  </si>
  <si>
    <t>269737+4</t>
  </si>
  <si>
    <t>3/10/24-1</t>
  </si>
  <si>
    <t>16/12/24-1</t>
  </si>
  <si>
    <t>19/12/24-3</t>
  </si>
  <si>
    <t>8 7674200920 1</t>
  </si>
  <si>
    <t>LIGA005</t>
  </si>
  <si>
    <t>LIGA PRIVADA No.9 ROBUSTO BOX 24</t>
  </si>
  <si>
    <t>39331+1</t>
  </si>
  <si>
    <t>9/4/22-1</t>
  </si>
  <si>
    <t>5/8/24-1</t>
  </si>
  <si>
    <t>8 7674200918 8</t>
  </si>
  <si>
    <t>LIG001</t>
  </si>
  <si>
    <t>LIGA PRIVADA No.9 Toro BOX 24</t>
  </si>
  <si>
    <t>39361+1</t>
  </si>
  <si>
    <t>6/4/23-1</t>
  </si>
  <si>
    <t>12/12/23-1</t>
  </si>
  <si>
    <t>LIG005</t>
  </si>
  <si>
    <t>LIGA PRIVADA T52 CORONETS</t>
  </si>
  <si>
    <t xml:space="preserve">tins 5 per unit </t>
  </si>
  <si>
    <t>268109+3</t>
  </si>
  <si>
    <t>12/9/24-1</t>
  </si>
  <si>
    <t>8 6764200945 4</t>
  </si>
  <si>
    <t>LIG010</t>
  </si>
  <si>
    <t>LIGA PRIVADA T52 Flying Pig</t>
  </si>
  <si>
    <t>13/12/21-2</t>
  </si>
  <si>
    <t>20/7/22-1</t>
  </si>
  <si>
    <t>LIG007</t>
  </si>
  <si>
    <t>LIGA PRIVADA T52 TASTING SAMP 5 CIGARS</t>
  </si>
  <si>
    <t>12/7/22-1</t>
  </si>
  <si>
    <t>22/7/22-1</t>
  </si>
  <si>
    <t>LIGA PRIVADA T52 Tasting Sampler</t>
  </si>
  <si>
    <t>228029+1</t>
  </si>
  <si>
    <t>16/12/21-3</t>
  </si>
  <si>
    <t>LIG009</t>
  </si>
  <si>
    <t>LIGA PRIVADA Tubo SAMPLER 6CT</t>
  </si>
  <si>
    <t>227652+1</t>
  </si>
  <si>
    <t>8 1857801922 1</t>
  </si>
  <si>
    <t>LIG003</t>
  </si>
  <si>
    <t>LIGA Privada Unico Nasty Fritas - Box 50</t>
  </si>
  <si>
    <t>266049+2</t>
  </si>
  <si>
    <t>TAB001</t>
  </si>
  <si>
    <t>Tabak Especial Dulce 5st sample drew Estate</t>
  </si>
  <si>
    <t>27162+55</t>
  </si>
  <si>
    <t>11/6/23-2</t>
  </si>
  <si>
    <t>15/3/23-1</t>
  </si>
  <si>
    <t>14/8/23-1</t>
  </si>
  <si>
    <t>24/8/23-1</t>
  </si>
  <si>
    <t>27/9/23-1</t>
  </si>
  <si>
    <t>TAB002</t>
  </si>
  <si>
    <t>Tabak Especial NEGRE 5st sample drew Estate</t>
  </si>
  <si>
    <t>sampler box of 5</t>
  </si>
  <si>
    <t>256119+8</t>
  </si>
  <si>
    <t>22/8/24-1</t>
  </si>
  <si>
    <t>15/11/23-1</t>
  </si>
  <si>
    <t>8 1857801783 8</t>
  </si>
  <si>
    <t>DRE009</t>
  </si>
  <si>
    <t>Undercrown Con Shade Gran Toro BOX 25</t>
  </si>
  <si>
    <t>DRE019</t>
  </si>
  <si>
    <t>Undercrown Con Shade Gran Toro GIFT set W/Lighter</t>
  </si>
  <si>
    <t>5ct gift set with lighter</t>
  </si>
  <si>
    <t>240070+10</t>
  </si>
  <si>
    <t>29/5/23-2</t>
  </si>
  <si>
    <t>18/1/24-1</t>
  </si>
  <si>
    <t>DRE007</t>
  </si>
  <si>
    <t>8</t>
  </si>
  <si>
    <t>Undercrown Connecticect Shade Coronet -TIN 10</t>
  </si>
  <si>
    <t>tins 5 per unit white</t>
  </si>
  <si>
    <t>24/10/25-2</t>
  </si>
  <si>
    <t>DRE020</t>
  </si>
  <si>
    <t>Undercrown Maduro Corona Viva</t>
  </si>
  <si>
    <t>8 7674200465 7</t>
  </si>
  <si>
    <t>DRE003</t>
  </si>
  <si>
    <t>Undercrown Maduro Coronet tin of 10</t>
  </si>
  <si>
    <t>tins 5 per unit blue</t>
  </si>
  <si>
    <t>277368+10</t>
  </si>
  <si>
    <t>3/10/25-2</t>
  </si>
  <si>
    <t>8 1857801784 5</t>
  </si>
  <si>
    <t>DRE018</t>
  </si>
  <si>
    <t>Undercrown Maduro Grand Toro 6 x 52 humipac</t>
  </si>
  <si>
    <t>5 pac of 5 per box</t>
  </si>
  <si>
    <t>26/3 273575+1</t>
  </si>
  <si>
    <t>31/7/23-1</t>
  </si>
  <si>
    <t>12/10/24-1</t>
  </si>
  <si>
    <t>DTT023</t>
  </si>
  <si>
    <t>Dunbarton TT</t>
  </si>
  <si>
    <t>DTT  MI QUERIDA Black Papa Saka</t>
  </si>
  <si>
    <t>0 1996272442 8</t>
  </si>
  <si>
    <t>DTT014</t>
  </si>
  <si>
    <t>JOYA</t>
  </si>
  <si>
    <t>DTT  MI QUERIDA Gordita</t>
  </si>
  <si>
    <t>LOOK AT GORDITA OR CORTO</t>
  </si>
  <si>
    <t>261804+1</t>
  </si>
  <si>
    <t>23/10/22-2</t>
  </si>
  <si>
    <t>17/12/23-1</t>
  </si>
  <si>
    <t>6 5334184851 2</t>
  </si>
  <si>
    <t>DTT026</t>
  </si>
  <si>
    <t>DTT  Sobromessa Brulee BLUE 6 1/4 x 46</t>
  </si>
  <si>
    <t>joya + 25</t>
  </si>
  <si>
    <t>14/11/24-2</t>
  </si>
  <si>
    <t>26/11/24-2</t>
  </si>
  <si>
    <t>10/3/25-2</t>
  </si>
  <si>
    <t>21/4/25-1</t>
  </si>
  <si>
    <t>19/7/24-2</t>
  </si>
  <si>
    <t>8 5334184691 4</t>
  </si>
  <si>
    <t>DTT008</t>
  </si>
  <si>
    <t>DTT  Sobromessa Brulee TORO</t>
  </si>
  <si>
    <t>3340+40</t>
  </si>
  <si>
    <t>14/11/25-2</t>
  </si>
  <si>
    <t>DTT011</t>
  </si>
  <si>
    <t xml:space="preserve">DTT Muestra de saka Exclusivo 6x 52 </t>
  </si>
  <si>
    <t>28228/6/21</t>
  </si>
  <si>
    <t>28/1/23-1</t>
  </si>
  <si>
    <t>DTT012</t>
  </si>
  <si>
    <t>DTT Muestra de saka Nacatamale</t>
  </si>
  <si>
    <t>37111+5 17/9</t>
  </si>
  <si>
    <t>6/6/22-1</t>
  </si>
  <si>
    <t>8/7/24-1</t>
  </si>
  <si>
    <t>26/9/24-1</t>
  </si>
  <si>
    <t>6 5334184951 9</t>
  </si>
  <si>
    <t>DTT024</t>
  </si>
  <si>
    <t>DTT Muestra de saka The Bewitched 6 5/8 x 50</t>
  </si>
  <si>
    <t>15/7/25-1</t>
  </si>
  <si>
    <t>0 1996272162 5</t>
  </si>
  <si>
    <t>DTT002</t>
  </si>
  <si>
    <t>DTT Selection No. 2 Sin Compromiso</t>
  </si>
  <si>
    <t>3340+15</t>
  </si>
  <si>
    <t>26/4/22-1</t>
  </si>
  <si>
    <t>27/6/25-1</t>
  </si>
  <si>
    <t>6 5334184711 9</t>
  </si>
  <si>
    <t>DTT017</t>
  </si>
  <si>
    <t xml:space="preserve">DTT Sobremesa Brulee GORDO </t>
  </si>
  <si>
    <t>3340+5</t>
  </si>
  <si>
    <t>20/12/24-1</t>
  </si>
  <si>
    <t>6 5334184671 6</t>
  </si>
  <si>
    <t>DTT007</t>
  </si>
  <si>
    <t xml:space="preserve">DTT Sobremesa Brulee ROBUSTO </t>
  </si>
  <si>
    <t>joya + 50</t>
  </si>
  <si>
    <t>20/8/25-2</t>
  </si>
  <si>
    <t>9/10/24-2</t>
  </si>
  <si>
    <t>0 1996272102 1</t>
  </si>
  <si>
    <t>DTT006</t>
  </si>
  <si>
    <t>DTT Sobromessa Elegante En Cedros</t>
  </si>
  <si>
    <t>15/8/21-1</t>
  </si>
  <si>
    <t>7/4/22-1</t>
  </si>
  <si>
    <t>29/11/22-2</t>
  </si>
  <si>
    <t>0 1996272042 0</t>
  </si>
  <si>
    <t>DTT022</t>
  </si>
  <si>
    <t>DTT Sobromessa Robusto Larga</t>
  </si>
  <si>
    <t>3340+10</t>
  </si>
  <si>
    <t>0 1996272122 9</t>
  </si>
  <si>
    <t>DTT005</t>
  </si>
  <si>
    <t>DTT Sobromessa Short Churchill</t>
  </si>
  <si>
    <t>13/4/23-1</t>
  </si>
  <si>
    <t>DTT010</t>
  </si>
  <si>
    <t>DTT TODOS LAS DIAS Thick Lonsdale</t>
  </si>
  <si>
    <t>6/9/21-1</t>
  </si>
  <si>
    <t>1/12/21-1</t>
  </si>
  <si>
    <t>6 5334184511 5</t>
  </si>
  <si>
    <t>DTT025</t>
  </si>
  <si>
    <t>Sin Compromiso Paladin De Saka 7 x 52</t>
  </si>
  <si>
    <t>joya + 15</t>
  </si>
  <si>
    <t>18/4/24-1</t>
  </si>
  <si>
    <t>0 1996272302 5</t>
  </si>
  <si>
    <t>DTT001</t>
  </si>
  <si>
    <t>Sin Compromiso Selection Intrepido</t>
  </si>
  <si>
    <t>6 53341 84301 2</t>
  </si>
  <si>
    <t>DTT021</t>
  </si>
  <si>
    <t>StillWell Star, Aromatic No. 1, (6 x 52), 13 per</t>
  </si>
  <si>
    <t>237162+1</t>
  </si>
  <si>
    <t>9/4/22-2</t>
  </si>
  <si>
    <t>18/7/24-1</t>
  </si>
  <si>
    <t>6 5334184341 8</t>
  </si>
  <si>
    <t>DTT019</t>
  </si>
  <si>
    <t>StillWell Star, Bayou No. 32, (6 x 52), 13 per</t>
  </si>
  <si>
    <t>236562+3</t>
  </si>
  <si>
    <t>10/1/22-1</t>
  </si>
  <si>
    <t>6 5334184321 0</t>
  </si>
  <si>
    <t>DTT018</t>
  </si>
  <si>
    <t>StillWell Star, English No. 27, (6 x 52), 13 per</t>
  </si>
  <si>
    <t>23/1/22-2</t>
  </si>
  <si>
    <t>DTT020</t>
  </si>
  <si>
    <t>StillWell Star, Navy No. 1056, (6 x 52), 13 per</t>
  </si>
  <si>
    <t>7 426824781308</t>
  </si>
  <si>
    <t>ELP001</t>
  </si>
  <si>
    <t>EL PULP</t>
  </si>
  <si>
    <t>EL PULP BELICOSO GRANDE</t>
  </si>
  <si>
    <t>276858 +6</t>
  </si>
  <si>
    <t>27/6/25-2</t>
  </si>
  <si>
    <t>ELP002</t>
  </si>
  <si>
    <t>EL PULPO</t>
  </si>
  <si>
    <t>EL PULPO Octo Ocho</t>
  </si>
  <si>
    <t>8 1116702297 8</t>
  </si>
  <si>
    <t>EPC011</t>
  </si>
  <si>
    <t>EP Carrillo</t>
  </si>
  <si>
    <t>EP CARRILLO 15TH ANNIVESARY</t>
  </si>
  <si>
    <t>8 11167 02234 3</t>
  </si>
  <si>
    <t>EPC009</t>
  </si>
  <si>
    <t>EP CARRILLO Allegiance Robusto Sidekick</t>
  </si>
  <si>
    <t>19/4 273893+2</t>
  </si>
  <si>
    <t>25/7/24-1</t>
  </si>
  <si>
    <t>8 11167 02239 8</t>
  </si>
  <si>
    <t>EPC006</t>
  </si>
  <si>
    <t>EP CARRILLO Allegiance Wingman Double Corona</t>
  </si>
  <si>
    <t>24/6/25-2</t>
  </si>
  <si>
    <t>8 1116702331 9</t>
  </si>
  <si>
    <t>EPC016</t>
  </si>
  <si>
    <t>EP Carillo Battleborn Ltd Edition</t>
  </si>
  <si>
    <t>8 1116702215 2</t>
  </si>
  <si>
    <t>EPC010</t>
  </si>
  <si>
    <t>EP CARRILLO Encor Celestial</t>
  </si>
  <si>
    <t>276122+3</t>
  </si>
  <si>
    <t>25/2/25-2</t>
  </si>
  <si>
    <t>8 1116702272 5</t>
  </si>
  <si>
    <t>EPC008</t>
  </si>
  <si>
    <t>EP CARRILLO ENCORE BLACK - BOX 10</t>
  </si>
  <si>
    <t>Emre</t>
  </si>
  <si>
    <t>39361+2</t>
  </si>
  <si>
    <t>11/4/24-3</t>
  </si>
  <si>
    <t>19/9/24-3</t>
  </si>
  <si>
    <t>28/8/25-1</t>
  </si>
  <si>
    <t>8 1116702315 9</t>
  </si>
  <si>
    <t>EPC014</t>
  </si>
  <si>
    <t>EP CARRILLO ENCORE BLACK  BULWARKS- BOX 10</t>
  </si>
  <si>
    <t>12/9/25-2</t>
  </si>
  <si>
    <t>15/9/25-2</t>
  </si>
  <si>
    <t>21/11/25-2</t>
  </si>
  <si>
    <t>8 1116702210 7</t>
  </si>
  <si>
    <t>EPC001</t>
  </si>
  <si>
    <t>EP CARRILLO ENCORE MAJESTIC - BOX 20</t>
  </si>
  <si>
    <t>7/8/24-1</t>
  </si>
  <si>
    <t>13/6/25-1</t>
  </si>
  <si>
    <t>8 1116702300 6</t>
  </si>
  <si>
    <t>EPC013</t>
  </si>
  <si>
    <t>EP CARRILLO Endure Robusto</t>
  </si>
  <si>
    <t>277355+8</t>
  </si>
  <si>
    <t>2/7/25-1</t>
  </si>
  <si>
    <t>14/8/25-1</t>
  </si>
  <si>
    <t>8 1116702304 3</t>
  </si>
  <si>
    <t>EPC012</t>
  </si>
  <si>
    <t>EP CARRILLO Endure Toro</t>
  </si>
  <si>
    <t>8 1116702224 4</t>
  </si>
  <si>
    <t>EPC004</t>
  </si>
  <si>
    <t>EP CARRILLO LA HISTORIA E-III</t>
  </si>
  <si>
    <t>28/2/23-1</t>
  </si>
  <si>
    <t>14/8/23-1-10+20</t>
  </si>
  <si>
    <t>8 1116702330 2</t>
  </si>
  <si>
    <t>EPC015</t>
  </si>
  <si>
    <t>EP CARRILLO LA HISTORIA SILK</t>
  </si>
  <si>
    <t>11/12/25-2</t>
  </si>
  <si>
    <t>8 11167 02242 8</t>
  </si>
  <si>
    <t>EPC007</t>
  </si>
  <si>
    <t>EP CARRILLO Pledge of Allegiance TORO LE 2025</t>
  </si>
  <si>
    <t>8 1116702218 3</t>
  </si>
  <si>
    <t>EPC002</t>
  </si>
  <si>
    <t>EP CARRILLO PLEDGE PREQUEL BOX 20</t>
  </si>
  <si>
    <t>277314+4</t>
  </si>
  <si>
    <t>8 1116702219 0</t>
  </si>
  <si>
    <t>EPC003</t>
  </si>
  <si>
    <t>EP CARRILLO PLEDGE SOJOURN BOX 10</t>
  </si>
  <si>
    <t>23/6/25-1</t>
  </si>
  <si>
    <t>8 5359800465 9</t>
  </si>
  <si>
    <t>ESP001</t>
  </si>
  <si>
    <t>Espinosa</t>
  </si>
  <si>
    <t xml:space="preserve">Espinosa Habano No.4 </t>
  </si>
  <si>
    <t>CHA001</t>
  </si>
  <si>
    <t>Foundation Cigar Company</t>
  </si>
  <si>
    <t>24/4 274091+2</t>
  </si>
  <si>
    <t>3/7/24-1</t>
  </si>
  <si>
    <t>FCO001</t>
  </si>
  <si>
    <t>Foundation cigar Company</t>
  </si>
  <si>
    <t>FOUNDATION CC THE UPSETTERS ORB M 20</t>
  </si>
  <si>
    <t>267481+2</t>
  </si>
  <si>
    <t>TWM003</t>
  </si>
  <si>
    <t xml:space="preserve">THE WISE MAN MADURO  corona </t>
  </si>
  <si>
    <t>257234 2025 08 26</t>
  </si>
  <si>
    <t>TWM002</t>
  </si>
  <si>
    <t>THE WISE MAN MADURO lancero</t>
  </si>
  <si>
    <t>0 793585935590</t>
  </si>
  <si>
    <t>TWM001</t>
  </si>
  <si>
    <t>THE WISE MAN MADURO ROBUSTO</t>
  </si>
  <si>
    <t>GUR004</t>
  </si>
  <si>
    <t>Gurkha</t>
  </si>
  <si>
    <t>Tyson 2.0 Habano 6 x 54</t>
  </si>
  <si>
    <t>GUR007</t>
  </si>
  <si>
    <t>Tyson 2.0 Habano 7 X 60</t>
  </si>
  <si>
    <t>GUR005</t>
  </si>
  <si>
    <t>Tyson 2.0 Maduro 6 x 54</t>
  </si>
  <si>
    <t>23/9/25-1</t>
  </si>
  <si>
    <t>GUR006</t>
  </si>
  <si>
    <t>Tyson 2.0 Maduro 7 X 60</t>
  </si>
  <si>
    <t>UPM036</t>
  </si>
  <si>
    <t>H UPMANN</t>
  </si>
  <si>
    <t>H Upmann magnum 52 year of the tiger</t>
  </si>
  <si>
    <t>HCWH002</t>
  </si>
  <si>
    <t>Henry Clay</t>
  </si>
  <si>
    <t>Henry Clay War Hawk gift set toro with pocket knife</t>
  </si>
  <si>
    <t>4/4/25-1</t>
  </si>
  <si>
    <t>17/11/25-2</t>
  </si>
  <si>
    <t>HCWH001</t>
  </si>
  <si>
    <t>Henry Clay War Hawk Robusto 25s</t>
  </si>
  <si>
    <t>9 194700900041</t>
  </si>
  <si>
    <t>ILL001</t>
  </si>
  <si>
    <t>LVCO</t>
  </si>
  <si>
    <t>Illusion</t>
  </si>
  <si>
    <t>Illusione Singulare Origen Corona Gorda</t>
  </si>
  <si>
    <t>JUA050</t>
  </si>
  <si>
    <t>Jaun Lopez</t>
  </si>
  <si>
    <t>Flor De Juan Lopez Selec. Especial 150 Anniversary</t>
  </si>
  <si>
    <t>7 427025680131</t>
  </si>
  <si>
    <t>JFR004</t>
  </si>
  <si>
    <t>JFR Aganorsa Leaf</t>
  </si>
  <si>
    <t>Aganorsa JFR Lunatic 10 x 100 Coffins</t>
  </si>
  <si>
    <t>4/1/24-8</t>
  </si>
  <si>
    <t>19/4/24-1</t>
  </si>
  <si>
    <t>27/11/24-7</t>
  </si>
  <si>
    <t>24/4/25-2</t>
  </si>
  <si>
    <t>30/4/25-5</t>
  </si>
  <si>
    <t>7 426824782930</t>
  </si>
  <si>
    <t>JFR002</t>
  </si>
  <si>
    <t>JFR LUNATIC Loco Mad El Liquito 60</t>
  </si>
  <si>
    <t>60rg</t>
  </si>
  <si>
    <t>267164+1</t>
  </si>
  <si>
    <t>7 426824782923</t>
  </si>
  <si>
    <t>JFR001</t>
  </si>
  <si>
    <t>JFR LUNATIC Loco Mad El Liquito 70</t>
  </si>
  <si>
    <t>70rg</t>
  </si>
  <si>
    <t>268413+2</t>
  </si>
  <si>
    <t>24/8/23-2</t>
  </si>
  <si>
    <t>7 427025679876</t>
  </si>
  <si>
    <t>JFR003</t>
  </si>
  <si>
    <t>JFR Super Toro Sampler Pack Display</t>
  </si>
  <si>
    <t>10 Packs of 4 per box</t>
  </si>
  <si>
    <t>JDN005</t>
  </si>
  <si>
    <t>Joya De Nicaragua</t>
  </si>
  <si>
    <t>Joya De Nicaragua Antano 1970 Assortment - 5s</t>
  </si>
  <si>
    <t>243838+1</t>
  </si>
  <si>
    <t>22/11/22-1</t>
  </si>
  <si>
    <t>25/8/22-2</t>
  </si>
  <si>
    <t>JDN006</t>
  </si>
  <si>
    <t xml:space="preserve">Joyo De Nic </t>
  </si>
  <si>
    <t>Joya Antano Daro Corojo, 5-st Sampler</t>
  </si>
  <si>
    <t>24/6/23-1</t>
  </si>
  <si>
    <t>22/4/23-3</t>
  </si>
  <si>
    <t>6 82621 00561 1</t>
  </si>
  <si>
    <t>JDN007</t>
  </si>
  <si>
    <t>Joya De Nicaragua Gran Reserva Robusto Grande</t>
  </si>
  <si>
    <t>Gold box</t>
  </si>
  <si>
    <t>5/4/23-1</t>
  </si>
  <si>
    <t>7/2/25-1</t>
  </si>
  <si>
    <t>6 82621003904 5</t>
  </si>
  <si>
    <t>JDN004</t>
  </si>
  <si>
    <t xml:space="preserve">Joyo De Nicaragua Antano 1970 Robusto Grande </t>
  </si>
  <si>
    <t>277368+4</t>
  </si>
  <si>
    <t>JAK001</t>
  </si>
  <si>
    <t>JW</t>
  </si>
  <si>
    <t>JAKE WYATT - Appendix II - Robusto (5 x 50) - Box of 22</t>
  </si>
  <si>
    <t>751+5</t>
  </si>
  <si>
    <t>5/3/25-1</t>
  </si>
  <si>
    <t>7 4796021550 0</t>
  </si>
  <si>
    <t>JAK002</t>
  </si>
  <si>
    <t>JAKE WYATT - Appendix II - Toro (6 x 54) - Box of 22</t>
  </si>
  <si>
    <t>8/11/23-1</t>
  </si>
  <si>
    <t>JAK004</t>
  </si>
  <si>
    <t>JAKE WYATT - Fourth Dimension - Limited Edition (7 x 49/64) - Box of 10</t>
  </si>
  <si>
    <t>751+2</t>
  </si>
  <si>
    <t>7 4796021566 1</t>
  </si>
  <si>
    <t>JAK003</t>
  </si>
  <si>
    <t>JAKE WYATT - Fourth Dimension - Toro (6 x 54) - Box of 22</t>
  </si>
  <si>
    <t>1/5/25-1</t>
  </si>
  <si>
    <t>7 4796021558 6</t>
  </si>
  <si>
    <t>JAK005</t>
  </si>
  <si>
    <t>JAKE WYATT - Herbert Spencer - Limited Edition (7 x 49/64) - Box of 10</t>
  </si>
  <si>
    <t>JAK009</t>
  </si>
  <si>
    <t>JAKE WYATT - Lithium - Robusto (5 x 50) - Box of 22</t>
  </si>
  <si>
    <t>751+10</t>
  </si>
  <si>
    <t>XMAS 2</t>
  </si>
  <si>
    <t>3/12/*24-2</t>
  </si>
  <si>
    <t>JAK006</t>
  </si>
  <si>
    <t>JAKE WYATT - Lucid Interval - Gordo (6 x 60) - Box of 22</t>
  </si>
  <si>
    <t>751+3</t>
  </si>
  <si>
    <t>7 4796021823 5</t>
  </si>
  <si>
    <t>JAK010</t>
  </si>
  <si>
    <t>JAKE WYATT - Perfecto Event Sampler - Box of 5</t>
  </si>
  <si>
    <t>751+20</t>
  </si>
  <si>
    <t>9/9/24-2</t>
  </si>
  <si>
    <t>JAK007</t>
  </si>
  <si>
    <t>JAKE WYATT - U.S.I.R. - Robusto (5 x 50) - Box of 22</t>
  </si>
  <si>
    <t>29/2/24-1</t>
  </si>
  <si>
    <t>XMAS -2</t>
  </si>
  <si>
    <t>JAK008</t>
  </si>
  <si>
    <t>JAKE WYATT - U.S.I.R. - Toro (6 x 54) - Box of 22</t>
  </si>
  <si>
    <t>7 3706961446 5</t>
  </si>
  <si>
    <t>KRI002</t>
  </si>
  <si>
    <t>Kristoff</t>
  </si>
  <si>
    <t>KRISTOFF Criollo ROBUSTO SAMPLER - 8 CIGARS</t>
  </si>
  <si>
    <t>gift pack</t>
  </si>
  <si>
    <t>277348+4</t>
  </si>
  <si>
    <t>17/9/25-3</t>
  </si>
  <si>
    <t>11/3/25-2</t>
  </si>
  <si>
    <t>4/7/25-2</t>
  </si>
  <si>
    <t>7 3706961445 8</t>
  </si>
  <si>
    <t>KRI005</t>
  </si>
  <si>
    <t>Kristoff MADURO Bold  Sampler 4's</t>
  </si>
  <si>
    <t>10 per box</t>
  </si>
  <si>
    <t>19/4 273893+1</t>
  </si>
  <si>
    <t>8/12/23-1</t>
  </si>
  <si>
    <t>7/3/24-1</t>
  </si>
  <si>
    <t>7 3706961447 2</t>
  </si>
  <si>
    <t>KRI001</t>
  </si>
  <si>
    <t>Kristoff Medium Bold Spice Sampler 4's</t>
  </si>
  <si>
    <t>249607+1</t>
  </si>
  <si>
    <t>7/9/22-10</t>
  </si>
  <si>
    <t>KRI003</t>
  </si>
  <si>
    <t>KRISTOFF NATURAL 4 CIGAR SAMPLER</t>
  </si>
  <si>
    <t>248126+1</t>
  </si>
  <si>
    <t>21/3/22-2</t>
  </si>
  <si>
    <t>7 3706961710 7</t>
  </si>
  <si>
    <t>KRI007</t>
  </si>
  <si>
    <t>Kristoff Pistoff 660</t>
  </si>
  <si>
    <t>272587+3</t>
  </si>
  <si>
    <t>7 3706961711 4</t>
  </si>
  <si>
    <t>KRI006</t>
  </si>
  <si>
    <t>Kristoff Pistoff Churchill</t>
  </si>
  <si>
    <t>2/5 274412+2</t>
  </si>
  <si>
    <t>14/3/25-1</t>
  </si>
  <si>
    <t>7 3706961708 4</t>
  </si>
  <si>
    <t>KRI004</t>
  </si>
  <si>
    <t>Kristoff Pistoff robusto</t>
  </si>
  <si>
    <t>20/7/23-2</t>
  </si>
  <si>
    <t>28/2/24-2</t>
  </si>
  <si>
    <t>3/9/24-2</t>
  </si>
  <si>
    <t>LAA010</t>
  </si>
  <si>
    <t>La Aurora</t>
  </si>
  <si>
    <t>La Aurora Best Seller Sampler</t>
  </si>
  <si>
    <t>38194+8</t>
  </si>
  <si>
    <t>16/12/24-2</t>
  </si>
  <si>
    <t>LAA005</t>
  </si>
  <si>
    <t>La Aurora Gold Box of 8</t>
  </si>
  <si>
    <t>35078+10</t>
  </si>
  <si>
    <t>7 465603168961</t>
  </si>
  <si>
    <t>LAA009</t>
  </si>
  <si>
    <t>La Aurora Treasure box</t>
  </si>
  <si>
    <t>*</t>
  </si>
  <si>
    <t>6/10/23-2</t>
  </si>
  <si>
    <t>LFD061</t>
  </si>
  <si>
    <t>LFD</t>
  </si>
  <si>
    <t>LFD "M" Natural 5's</t>
  </si>
  <si>
    <t>8/5/23-1</t>
  </si>
  <si>
    <t>7 460644704963</t>
  </si>
  <si>
    <t>LFD123</t>
  </si>
  <si>
    <t>LFD 1994 Rumba Box of 20</t>
  </si>
  <si>
    <t>LFD005</t>
  </si>
  <si>
    <t>LFD 1994 Tango</t>
  </si>
  <si>
    <t>2022-000031</t>
  </si>
  <si>
    <t>19/12/22-1</t>
  </si>
  <si>
    <t>LFD111</t>
  </si>
  <si>
    <t>LFD Andalusian Bull</t>
  </si>
  <si>
    <t>LFD130</t>
  </si>
  <si>
    <t>LFD Carajos Maduro Box of 6</t>
  </si>
  <si>
    <t>6 per tin</t>
  </si>
  <si>
    <t>37111+5 18/9</t>
  </si>
  <si>
    <t>14/4/23-1</t>
  </si>
  <si>
    <t>12/6/24-1</t>
  </si>
  <si>
    <t>7 460644707971</t>
  </si>
  <si>
    <t>LFD131</t>
  </si>
  <si>
    <t>LFD Carajos Natural Box of 6</t>
  </si>
  <si>
    <t>21/12/22-1</t>
  </si>
  <si>
    <t>7 460644707957</t>
  </si>
  <si>
    <t>LFD132</t>
  </si>
  <si>
    <t>LFD Carajos Oscuro Box of 6</t>
  </si>
  <si>
    <t>11/6/23-1</t>
  </si>
  <si>
    <t>20/1/23-1</t>
  </si>
  <si>
    <t>LFD069</t>
  </si>
  <si>
    <t>LFD Chapter one Chisel</t>
  </si>
  <si>
    <t>237543+6</t>
  </si>
  <si>
    <t>10/7/22-1</t>
  </si>
  <si>
    <t>3/8/23-2</t>
  </si>
  <si>
    <t>7 460644703829</t>
  </si>
  <si>
    <t>LFD124</t>
  </si>
  <si>
    <t>LFD Chisel Selection 5</t>
  </si>
  <si>
    <t>Sampler</t>
  </si>
  <si>
    <t>13/12/23-1</t>
  </si>
  <si>
    <t>25/6/25-2</t>
  </si>
  <si>
    <t>6/8/25-10</t>
  </si>
  <si>
    <t>LFD027</t>
  </si>
  <si>
    <t>LFD Chiselito Maduro</t>
  </si>
  <si>
    <t>7/6/22-1</t>
  </si>
  <si>
    <t>LFD026</t>
  </si>
  <si>
    <t>LFD Chiselito Natural</t>
  </si>
  <si>
    <t>7/6/22-2</t>
  </si>
  <si>
    <t>LFD002</t>
  </si>
  <si>
    <t xml:space="preserve">LFD Crystal Tubo Corona </t>
  </si>
  <si>
    <t>TUBES</t>
  </si>
  <si>
    <t>10/2/23-1</t>
  </si>
  <si>
    <t>11/9/23-1</t>
  </si>
  <si>
    <t>LFD081</t>
  </si>
  <si>
    <t>LFD Daiquiri Cigarellos Maduro</t>
  </si>
  <si>
    <t>order bayside</t>
  </si>
  <si>
    <t>LFD085</t>
  </si>
  <si>
    <t>LFD Daiquiri Cigarellos MADURO</t>
  </si>
  <si>
    <t>5 TINS OF 10</t>
  </si>
  <si>
    <t>LFD082</t>
  </si>
  <si>
    <t>LFD Daiquiri Cigarellos Natural</t>
  </si>
  <si>
    <t>36028+10</t>
  </si>
  <si>
    <t>28/9/22-1</t>
  </si>
  <si>
    <t>31/8/23-2</t>
  </si>
  <si>
    <t>7 460644700491</t>
  </si>
  <si>
    <t>LFD001</t>
  </si>
  <si>
    <t>LFD DL Ligero 452 Natural</t>
  </si>
  <si>
    <t>12/5/22-2</t>
  </si>
  <si>
    <t>23/10/25-5</t>
  </si>
  <si>
    <t>LFD040</t>
  </si>
  <si>
    <t>LFD DL-Digger MADURO 20's</t>
  </si>
  <si>
    <t>19/5/22-1</t>
  </si>
  <si>
    <t>7 460644700552</t>
  </si>
  <si>
    <t>LFD039</t>
  </si>
  <si>
    <t>LFD DL-Digger Natural 20's</t>
  </si>
  <si>
    <t>LFD083</t>
  </si>
  <si>
    <t>LFD El Carajon</t>
  </si>
  <si>
    <t>5/9/22-1</t>
  </si>
  <si>
    <t>7 460644701504</t>
  </si>
  <si>
    <t>LFD092</t>
  </si>
  <si>
    <t>LFD El Jocko Maduro</t>
  </si>
  <si>
    <t>7 460644701511</t>
  </si>
  <si>
    <t>LFD093</t>
  </si>
  <si>
    <t>LFD El Jocko Natural</t>
  </si>
  <si>
    <t>22/3/24-1</t>
  </si>
  <si>
    <t>7 460644704482</t>
  </si>
  <si>
    <t>LFD053</t>
  </si>
  <si>
    <t>LFD Insurrecto Suave</t>
  </si>
  <si>
    <t>14/5/22-1</t>
  </si>
  <si>
    <t>13/10/25-3</t>
  </si>
  <si>
    <t>LFD128</t>
  </si>
  <si>
    <t xml:space="preserve">LFD L-200 Oscuro Natural Box </t>
  </si>
  <si>
    <t>8/12/22-1</t>
  </si>
  <si>
    <t>12/6/22-1</t>
  </si>
  <si>
    <t>LFD133</t>
  </si>
  <si>
    <t>LFD La Nox Petit 5's</t>
  </si>
  <si>
    <t>22/8/24-5</t>
  </si>
  <si>
    <t>7 460644706370</t>
  </si>
  <si>
    <t>LFD114</t>
  </si>
  <si>
    <t>LFD La Nox Petit Cabinet</t>
  </si>
  <si>
    <t>LFD110</t>
  </si>
  <si>
    <t>LFD Los Tubos</t>
  </si>
  <si>
    <t>30/12/22-2</t>
  </si>
  <si>
    <t>XMAS 7</t>
  </si>
  <si>
    <t>4/8/25-2</t>
  </si>
  <si>
    <t>7 460644704499</t>
  </si>
  <si>
    <t>LFD127</t>
  </si>
  <si>
    <t>LFD Maceo Suave</t>
  </si>
  <si>
    <t>28/10/25-2</t>
  </si>
  <si>
    <t>LFD109</t>
  </si>
  <si>
    <t>LFD Oro Tubo Maduro</t>
  </si>
  <si>
    <t>30/3/23-1</t>
  </si>
  <si>
    <t>6/9/23-1</t>
  </si>
  <si>
    <t>12/9/23-3</t>
  </si>
  <si>
    <t>LFD108</t>
  </si>
  <si>
    <t>LFD Oro Tubo Natural</t>
  </si>
  <si>
    <t>LFD125</t>
  </si>
  <si>
    <t>LFD Robusto Selection</t>
  </si>
  <si>
    <t>17/07/23-2</t>
  </si>
  <si>
    <t>25/7/23-2</t>
  </si>
  <si>
    <t>12/1/24-3</t>
  </si>
  <si>
    <t>16/10/24-2</t>
  </si>
  <si>
    <t>LFD116</t>
  </si>
  <si>
    <t>LFD Salomon (ligero) MADURO</t>
  </si>
  <si>
    <t>6/11/22-1 rafus</t>
  </si>
  <si>
    <t>7 460644705724</t>
  </si>
  <si>
    <t>LFD113</t>
  </si>
  <si>
    <t>LFD Salomon Unico</t>
  </si>
  <si>
    <t>LFD126</t>
  </si>
  <si>
    <t>LFD Toro Selection 5 Cigars</t>
  </si>
  <si>
    <t>20/3/22-1</t>
  </si>
  <si>
    <t>22/7/22-2</t>
  </si>
  <si>
    <t>LFD099</t>
  </si>
  <si>
    <t>LFD Volcado Tins</t>
  </si>
  <si>
    <t>35040-31/5/22+100</t>
  </si>
  <si>
    <t>6 8967408187 6</t>
  </si>
  <si>
    <t>MAC011</t>
  </si>
  <si>
    <t>Macanudo</t>
  </si>
  <si>
    <t>Macanudo 1968 Toro</t>
  </si>
  <si>
    <t>28/8/24-1</t>
  </si>
  <si>
    <t>MAC014</t>
  </si>
  <si>
    <t>Macanudo Café Ascot tins of ten</t>
  </si>
  <si>
    <t>tins of ten</t>
  </si>
  <si>
    <t>236402+100</t>
  </si>
  <si>
    <t>7/7/22-10</t>
  </si>
  <si>
    <t>8/1/24-10</t>
  </si>
  <si>
    <t>5/2/24-10</t>
  </si>
  <si>
    <t>18/12/24-1</t>
  </si>
  <si>
    <t>6 8967402638 9</t>
  </si>
  <si>
    <t>MAC015</t>
  </si>
  <si>
    <t xml:space="preserve">Macanudo Café Court Tube </t>
  </si>
  <si>
    <t>10/12/24-1</t>
  </si>
  <si>
    <t>21/11/23-1</t>
  </si>
  <si>
    <t>12/12/24-2</t>
  </si>
  <si>
    <t>6 89674081814</t>
  </si>
  <si>
    <t>MAC013</t>
  </si>
  <si>
    <t xml:space="preserve">MACANUDO Cru Royale Gigante </t>
  </si>
  <si>
    <t>FDLA005</t>
  </si>
  <si>
    <t>My Father</t>
  </si>
  <si>
    <t>Flor De Las Antillas - 10th year Anniversary</t>
  </si>
  <si>
    <t>248126+5</t>
  </si>
  <si>
    <t>6/5/23-2</t>
  </si>
  <si>
    <t>5/11/25-2</t>
  </si>
  <si>
    <t>8 1767301072 0</t>
  </si>
  <si>
    <t>FDLA001</t>
  </si>
  <si>
    <t>Flor De Las Antillas - Belicosos - 20</t>
  </si>
  <si>
    <t>267828+3</t>
  </si>
  <si>
    <t>16/11/24-1</t>
  </si>
  <si>
    <t>8 1767301070 6</t>
  </si>
  <si>
    <t>FDLA004</t>
  </si>
  <si>
    <t>Flor De Las Antillas - Robusto - 20</t>
  </si>
  <si>
    <t>277285+4</t>
  </si>
  <si>
    <t>8 1767301074 4</t>
  </si>
  <si>
    <t>FDLA003</t>
  </si>
  <si>
    <t>Flor De Las Antillas - Toro - 20</t>
  </si>
  <si>
    <t>8 1767301001 0</t>
  </si>
  <si>
    <t>MYF003</t>
  </si>
  <si>
    <t>Jamie Garcia Reserva Especial Petite Robusto</t>
  </si>
  <si>
    <t>247914+2</t>
  </si>
  <si>
    <t>8 1767301108 6</t>
  </si>
  <si>
    <t>MYF017</t>
  </si>
  <si>
    <t>MF Don Pepin Garcia Cuban Classic 1950 Toro - Box of 20</t>
  </si>
  <si>
    <t>Check with Nick SC</t>
  </si>
  <si>
    <t>8 1767301104 8</t>
  </si>
  <si>
    <t>MYF018</t>
  </si>
  <si>
    <t>MF Don Pepin Garcia Cuban Classic 1979 Robusto</t>
  </si>
  <si>
    <t>1/7/25-1</t>
  </si>
  <si>
    <t>MYF023</t>
  </si>
  <si>
    <t>MF Don Pepin Origional Generosos</t>
  </si>
  <si>
    <t>SCHOUSE</t>
  </si>
  <si>
    <t>277299+1</t>
  </si>
  <si>
    <t>8 1767301274 8</t>
  </si>
  <si>
    <t>MYF014</t>
  </si>
  <si>
    <t>MF Don Pepin Vintage Edition Toro</t>
  </si>
  <si>
    <t>22/10/25-3</t>
  </si>
  <si>
    <t>22/7/24-2</t>
  </si>
  <si>
    <t>MYF026</t>
  </si>
  <si>
    <t>MF Don Pepin Garcia Serie JJ 20th Ann. LE 2025</t>
  </si>
  <si>
    <t>39331+8</t>
  </si>
  <si>
    <t>8 1767301017 1</t>
  </si>
  <si>
    <t>MYF007</t>
  </si>
  <si>
    <t>My Father - Le Bijou 1922 Grand Robusto</t>
  </si>
  <si>
    <t>22/10/25-4</t>
  </si>
  <si>
    <t>MYF015</t>
  </si>
  <si>
    <t>My Father - Le Bijou 1922 LE CORONA ESPECIAL</t>
  </si>
  <si>
    <t xml:space="preserve">Not availiable check </t>
  </si>
  <si>
    <t>38244+5</t>
  </si>
  <si>
    <t>MYF016</t>
  </si>
  <si>
    <r>
      <t xml:space="preserve">My Father - Le Bijou 1922 LE CORONA </t>
    </r>
    <r>
      <rPr>
        <b/>
        <color theme="1"/>
        <family val="2"/>
        <scheme val="minor"/>
        <sz val="11"/>
        <rFont val="Calibri"/>
      </rPr>
      <t>EXTRA</t>
    </r>
  </si>
  <si>
    <t>8 1767301019 5</t>
  </si>
  <si>
    <t>MYF001</t>
  </si>
  <si>
    <t>My Father - Le Bijou 1922 Torpedo Box 20</t>
  </si>
  <si>
    <t>possible6</t>
  </si>
  <si>
    <t>20/10/25-2</t>
  </si>
  <si>
    <t>8 1767301219 9</t>
  </si>
  <si>
    <t>MYF025</t>
  </si>
  <si>
    <t>My Father Assorted Humi Pack</t>
  </si>
  <si>
    <t>19/11/25-2</t>
  </si>
  <si>
    <t>8 1767301156 7</t>
  </si>
  <si>
    <t>MYF006</t>
  </si>
  <si>
    <t>My Father Belicosos Collection gift set  - box 6</t>
  </si>
  <si>
    <t>277364+4</t>
  </si>
  <si>
    <t>10/10/25-2</t>
  </si>
  <si>
    <t>8 1767301287 8</t>
  </si>
  <si>
    <t>MYF027</t>
  </si>
  <si>
    <t>My Father Blue Toro</t>
  </si>
  <si>
    <t>8 1767301285 4</t>
  </si>
  <si>
    <t>MYF028</t>
  </si>
  <si>
    <t>My Father Blue Toro Gordo</t>
  </si>
  <si>
    <t>8 1767301291 5</t>
  </si>
  <si>
    <t>MYF029</t>
  </si>
  <si>
    <t>My Father Blue Petit Robusto</t>
  </si>
  <si>
    <t>MYF012</t>
  </si>
  <si>
    <t>MY Father FONSECA Robustos box 20</t>
  </si>
  <si>
    <t>234133+3</t>
  </si>
  <si>
    <t>13/12/21-1</t>
  </si>
  <si>
    <t>MYF024</t>
  </si>
  <si>
    <t>My Father La Opulencia - Super Toro - 20</t>
  </si>
  <si>
    <t>8 1767301201 4</t>
  </si>
  <si>
    <t>MYF002</t>
  </si>
  <si>
    <t>My Father La Opulencia - Toro - 20</t>
  </si>
  <si>
    <t>8 1767301036 2</t>
  </si>
  <si>
    <t>MYF022</t>
  </si>
  <si>
    <t>My Father La Opulencia - Torpedo - 20</t>
  </si>
  <si>
    <t>277115+2</t>
  </si>
  <si>
    <t>8 1767301057 7</t>
  </si>
  <si>
    <t>MYF013</t>
  </si>
  <si>
    <t>My Father Lancero No.4</t>
  </si>
  <si>
    <t>3/7/25-4</t>
  </si>
  <si>
    <t>3/10/24-2</t>
  </si>
  <si>
    <t>8 1767301154 3</t>
  </si>
  <si>
    <t>MYF010</t>
  </si>
  <si>
    <t>My Father Original Sampler 5's</t>
  </si>
  <si>
    <t>13/1/25-2</t>
  </si>
  <si>
    <t>11/8/25-2</t>
  </si>
  <si>
    <t>MYF011</t>
  </si>
  <si>
    <t>My Father Selection Toro Sampler 5 pack</t>
  </si>
  <si>
    <t>cutter lighter</t>
  </si>
  <si>
    <t>22/11/24-1</t>
  </si>
  <si>
    <t>16/10/25-2</t>
  </si>
  <si>
    <t>8 1767301169 7</t>
  </si>
  <si>
    <t>MYF019</t>
  </si>
  <si>
    <t>MY Father The Judge  TORO - Box of 23 6 x 56</t>
  </si>
  <si>
    <t>25/4/25-1</t>
  </si>
  <si>
    <t>8 1767301168 0</t>
  </si>
  <si>
    <t>MYF004</t>
  </si>
  <si>
    <t>MY Father The Judge Grand Robusto - Box of 23</t>
  </si>
  <si>
    <t>277348+5</t>
  </si>
  <si>
    <t>NAT001</t>
  </si>
  <si>
    <t>Nat Sherman</t>
  </si>
  <si>
    <t>TIMELESS COLLECTION GORDO PRESTIGE DOMINICAN</t>
  </si>
  <si>
    <t>18/6/21-1</t>
  </si>
  <si>
    <t>22/3/22-1</t>
  </si>
  <si>
    <t>MON1935</t>
  </si>
  <si>
    <t>New world</t>
  </si>
  <si>
    <t>Montecristo 1935</t>
  </si>
  <si>
    <t>9/3/25-2</t>
  </si>
  <si>
    <t>25/3/25-2</t>
  </si>
  <si>
    <t>31/5/25-2</t>
  </si>
  <si>
    <t>nil on box</t>
  </si>
  <si>
    <t>NIC002</t>
  </si>
  <si>
    <t>Ge BC</t>
  </si>
  <si>
    <t>Nigoya Gerard</t>
  </si>
  <si>
    <t>Nicoya Fuertes Robusto</t>
  </si>
  <si>
    <t>39331+20</t>
  </si>
  <si>
    <t>NIC001</t>
  </si>
  <si>
    <t>Nicoya Medios Robusto</t>
  </si>
  <si>
    <t>11/11/25-2</t>
  </si>
  <si>
    <t>ALI001</t>
  </si>
  <si>
    <t>Oliva</t>
  </si>
  <si>
    <t>Cuba Aliados by Ep Carrillo ROBUSTO</t>
  </si>
  <si>
    <t>245261+2</t>
  </si>
  <si>
    <t>17/11/22-1</t>
  </si>
  <si>
    <t>20/11/22-1</t>
  </si>
  <si>
    <t>31/10/23-1</t>
  </si>
  <si>
    <t>ALI002</t>
  </si>
  <si>
    <t>Cuba Aliados by Ep Carrillo TORPEDO</t>
  </si>
  <si>
    <t>3/7/23-1</t>
  </si>
  <si>
    <t>29/8/24-1</t>
  </si>
  <si>
    <t>8 1453901026 9</t>
  </si>
  <si>
    <t>FDO001</t>
  </si>
  <si>
    <t>Flor De OLIVA BUNDLE toro</t>
  </si>
  <si>
    <t>269426+4</t>
  </si>
  <si>
    <t>8 1453901090 0</t>
  </si>
  <si>
    <t>OLV005</t>
  </si>
  <si>
    <t>NUB 354 Connecticut - 24</t>
  </si>
  <si>
    <t>8 1453901084 9</t>
  </si>
  <si>
    <t>OLV003</t>
  </si>
  <si>
    <t>NUB 460 Cammeroon - Box 24</t>
  </si>
  <si>
    <t>8 1453901088 7</t>
  </si>
  <si>
    <t>OLV004</t>
  </si>
  <si>
    <t>NUB 460 Connecticut  -24</t>
  </si>
  <si>
    <t>8 1453901092 4</t>
  </si>
  <si>
    <t>OLV006</t>
  </si>
  <si>
    <t>NUB 460 Habano - Box 24</t>
  </si>
  <si>
    <t>266539+2</t>
  </si>
  <si>
    <t>8 1453901095 5</t>
  </si>
  <si>
    <t>OLV011</t>
  </si>
  <si>
    <t>NUB 460 Maduro  - Box of 24</t>
  </si>
  <si>
    <t>8 1453901530 1</t>
  </si>
  <si>
    <t>OLV001</t>
  </si>
  <si>
    <t>NUB 460 Melanio, short robusto  - Box of 10</t>
  </si>
  <si>
    <t>251352+8</t>
  </si>
  <si>
    <t>19/5/24-2</t>
  </si>
  <si>
    <t>22/7/25-2</t>
  </si>
  <si>
    <t>NUBSAM</t>
  </si>
  <si>
    <t>OLIVA - NUB Sampler 4 cigars + Punch</t>
  </si>
  <si>
    <t>NUB SAMPLER</t>
  </si>
  <si>
    <t>277285+7</t>
  </si>
  <si>
    <t>8 1453901110 5</t>
  </si>
  <si>
    <t>OLV016</t>
  </si>
  <si>
    <t>Oliva (Serie V) Sampler 5's</t>
  </si>
  <si>
    <t>5/6/25 275802+5</t>
  </si>
  <si>
    <t>17/10/25-2</t>
  </si>
  <si>
    <t>27/11/25-3</t>
  </si>
  <si>
    <t>8 1453901578 3</t>
  </si>
  <si>
    <t>OLV025</t>
  </si>
  <si>
    <t>OLIVA (serie V)Melanio Sampler 6 cigars</t>
  </si>
  <si>
    <t>Melanio Sampler</t>
  </si>
  <si>
    <t>275393+10</t>
  </si>
  <si>
    <t>6/5/25-2</t>
  </si>
  <si>
    <t>3/9/25-2</t>
  </si>
  <si>
    <t>OLV023</t>
  </si>
  <si>
    <t>Oliva Advent Calendar</t>
  </si>
  <si>
    <t>25/11/24-15</t>
  </si>
  <si>
    <t>4/12/24-5</t>
  </si>
  <si>
    <t>6/12/24-5</t>
  </si>
  <si>
    <t>3/12/25-4</t>
  </si>
  <si>
    <t>OLV022</t>
  </si>
  <si>
    <t>OLIVA EVENT Special Sampler</t>
  </si>
  <si>
    <t>????? Possibly not avaliable</t>
  </si>
  <si>
    <t>OLV019</t>
  </si>
  <si>
    <t>Oliva Master Blend iii Robusto</t>
  </si>
  <si>
    <t>266539+4</t>
  </si>
  <si>
    <t>15/6/23-1</t>
  </si>
  <si>
    <t>8 1453901066 5</t>
  </si>
  <si>
    <t>OLV021</t>
  </si>
  <si>
    <t xml:space="preserve">Oliva Serie O N4 </t>
  </si>
  <si>
    <t>269594+1</t>
  </si>
  <si>
    <t>8 1453901107 5</t>
  </si>
  <si>
    <t>OLV017</t>
  </si>
  <si>
    <t>Oliva Variety Sampler 6 cigars</t>
  </si>
  <si>
    <t>277325+10 19/9/25</t>
  </si>
  <si>
    <t>29/9/25-2</t>
  </si>
  <si>
    <t>8 1453901005 4</t>
  </si>
  <si>
    <t>OLV015</t>
  </si>
  <si>
    <t>Serie G - Special G Camaroon-  box 48</t>
  </si>
  <si>
    <t>277330+1</t>
  </si>
  <si>
    <t>OLV014</t>
  </si>
  <si>
    <t>Serie G - Special G Maduro  box 48 3 1/2 X 48</t>
  </si>
  <si>
    <t>18/4/24-2</t>
  </si>
  <si>
    <t>8 1453901013 9</t>
  </si>
  <si>
    <t>OLV013</t>
  </si>
  <si>
    <t>Serie G Figurado 61/2"x60 - 25</t>
  </si>
  <si>
    <t>OLV008</t>
  </si>
  <si>
    <t>V 135th Anniversay -10</t>
  </si>
  <si>
    <t>1/6/23-2</t>
  </si>
  <si>
    <t>13/12/22-1</t>
  </si>
  <si>
    <t>1/10/25-2</t>
  </si>
  <si>
    <t>8 1453901055 9</t>
  </si>
  <si>
    <t>OLI013</t>
  </si>
  <si>
    <t>V Belicoso 5"x54 - box of 24</t>
  </si>
  <si>
    <t>????</t>
  </si>
  <si>
    <t>30/11/23-1</t>
  </si>
  <si>
    <t>8 1453901011 0</t>
  </si>
  <si>
    <t>OLV018</t>
  </si>
  <si>
    <t>V Maduro - Torpedo Esp - 10</t>
  </si>
  <si>
    <t>24/4 274091+5</t>
  </si>
  <si>
    <t>31/3/25-2</t>
  </si>
  <si>
    <t>8 1453901324 6</t>
  </si>
  <si>
    <t>OLV007</t>
  </si>
  <si>
    <t>V Melanio Figurado - Box 10</t>
  </si>
  <si>
    <t>all nil 4/8/25</t>
  </si>
  <si>
    <t>3/11/25-3</t>
  </si>
  <si>
    <t>21/4/25-2</t>
  </si>
  <si>
    <t>8 1453901600 1</t>
  </si>
  <si>
    <t>OLV028</t>
  </si>
  <si>
    <t>V Melanio GRAN TORO 2024  Maduro - 10</t>
  </si>
  <si>
    <t>39211+10</t>
  </si>
  <si>
    <t>OLV029</t>
  </si>
  <si>
    <t>V Melanio LIMITADA 2024 - 10</t>
  </si>
  <si>
    <t>26/3 273575+5</t>
  </si>
  <si>
    <t>8 1453901222 2</t>
  </si>
  <si>
    <t>OLV010</t>
  </si>
  <si>
    <t>V Melanio Robusto - 10's</t>
  </si>
  <si>
    <t>11/5/25-1</t>
  </si>
  <si>
    <t>8 1453901525 7</t>
  </si>
  <si>
    <t>OLV026</t>
  </si>
  <si>
    <t>V Melanio TORO</t>
  </si>
  <si>
    <t>OLV027</t>
  </si>
  <si>
    <t>V Melanio TORO Maduro - 10</t>
  </si>
  <si>
    <t>259017+8</t>
  </si>
  <si>
    <t>30/4/24+1</t>
  </si>
  <si>
    <t>8 1453901323 9</t>
  </si>
  <si>
    <t>OLV024</t>
  </si>
  <si>
    <t>V Melanio TORPEDO</t>
  </si>
  <si>
    <t>8 1453901050 4</t>
  </si>
  <si>
    <t>OLV002</t>
  </si>
  <si>
    <t>V Torpedo - 24</t>
  </si>
  <si>
    <t>11/02/25-1</t>
  </si>
  <si>
    <t>12/6/25-1</t>
  </si>
  <si>
    <t>7 9388887323 0</t>
  </si>
  <si>
    <t>OSC008</t>
  </si>
  <si>
    <t>OSCAR</t>
  </si>
  <si>
    <t>Leaf By Oscar Connecticut Robusto</t>
  </si>
  <si>
    <t>30/11/23-2</t>
  </si>
  <si>
    <t>7 9388887303 2</t>
  </si>
  <si>
    <t>OSC009</t>
  </si>
  <si>
    <t>Leaf By Oscar Maduro Robusto</t>
  </si>
  <si>
    <t>OSC002</t>
  </si>
  <si>
    <t>Leaf By Oscar Maduro Toro</t>
  </si>
  <si>
    <t>258037+4</t>
  </si>
  <si>
    <t>OSC007</t>
  </si>
  <si>
    <t>Oscar Valladares Wild Hunter Oscuro Toro</t>
  </si>
  <si>
    <t>6 4421608300 8</t>
  </si>
  <si>
    <t>OSC001</t>
  </si>
  <si>
    <t>The Oscar By Oscar Valladares Robusto Habano</t>
  </si>
  <si>
    <t>268646+1</t>
  </si>
  <si>
    <t>6 4421608330 5</t>
  </si>
  <si>
    <t>OSC005</t>
  </si>
  <si>
    <t>The Oscar By Oscar Valladares Robusto Maduro</t>
  </si>
  <si>
    <t>6 44216083100 7</t>
  </si>
  <si>
    <t>OSC010</t>
  </si>
  <si>
    <t>The Oscar By Oscar Valladares Sixty Habano</t>
  </si>
  <si>
    <t>273127+2</t>
  </si>
  <si>
    <t>14/07/2023-3</t>
  </si>
  <si>
    <t>6 4421608320 6</t>
  </si>
  <si>
    <t>OSC011</t>
  </si>
  <si>
    <t>The Oscar By Oscar Valladares Toro Maduro</t>
  </si>
  <si>
    <t>14/7/23-2</t>
  </si>
  <si>
    <t>OSC015</t>
  </si>
  <si>
    <t>The Oscar Heaven &amp; Hell Maduro Toro</t>
  </si>
  <si>
    <t>268109+2</t>
  </si>
  <si>
    <t>7 9388887423 7</t>
  </si>
  <si>
    <t>OSC014</t>
  </si>
  <si>
    <t xml:space="preserve">The Oscar McFly Gordo </t>
  </si>
  <si>
    <t>OSC013</t>
  </si>
  <si>
    <t>The Oscar Superfly Toro Connecticut</t>
  </si>
  <si>
    <t>267828+5</t>
  </si>
  <si>
    <t>25/10/24-3</t>
  </si>
  <si>
    <t>7 9388887443 5</t>
  </si>
  <si>
    <t>WOODY</t>
  </si>
  <si>
    <t>20/11/24-1</t>
  </si>
  <si>
    <t>8 1786602126 7</t>
  </si>
  <si>
    <t>PERD016</t>
  </si>
  <si>
    <t>Perdomo</t>
  </si>
  <si>
    <t>10th Res. 10th Anniversary Maduro Epicure</t>
  </si>
  <si>
    <t>17/12/24-1</t>
  </si>
  <si>
    <t>27/10/25-2</t>
  </si>
  <si>
    <t>10/12/25-2</t>
  </si>
  <si>
    <t>8 1622901488 5</t>
  </si>
  <si>
    <t>PERD004</t>
  </si>
  <si>
    <t>10th Res. Champange 10th Ann. Conn. Corona Extra</t>
  </si>
  <si>
    <t>275393+5</t>
  </si>
  <si>
    <t>8 1622901053 5</t>
  </si>
  <si>
    <t>PERD005</t>
  </si>
  <si>
    <t>10th Res. Champange 10th Ann. Robusto</t>
  </si>
  <si>
    <t>277331+5</t>
  </si>
  <si>
    <t>31/5/25-1</t>
  </si>
  <si>
    <t>8 1622901055 9</t>
  </si>
  <si>
    <t>PERD018</t>
  </si>
  <si>
    <t>10th Res. Champange Anniversary Magnum TUBO</t>
  </si>
  <si>
    <t>8 1622901051 1</t>
  </si>
  <si>
    <t>PERD012</t>
  </si>
  <si>
    <t>10th Res. Champange Anniversary Puritos Tins of 5</t>
  </si>
  <si>
    <t>Tins 5 x 5 Puritos</t>
  </si>
  <si>
    <t>265416+10</t>
  </si>
  <si>
    <t>13/5/25-1</t>
  </si>
  <si>
    <t>8 1622901824 1</t>
  </si>
  <si>
    <t>PERD022</t>
  </si>
  <si>
    <t>20th Anniversary  CHURCHILL Connecticut</t>
  </si>
  <si>
    <t>PERD021</t>
  </si>
  <si>
    <t>20th Anniversary  Sungrown CHURCHILL</t>
  </si>
  <si>
    <t>5/8/25-2</t>
  </si>
  <si>
    <t>23/9/25-2</t>
  </si>
  <si>
    <t>8 1622901820 3</t>
  </si>
  <si>
    <t>PERD003</t>
  </si>
  <si>
    <t>20th Anniversary Robusto Connecticut</t>
  </si>
  <si>
    <t>8 1622901557 8</t>
  </si>
  <si>
    <t>PERD001</t>
  </si>
  <si>
    <t>20th Anniversary Robusto Maduro</t>
  </si>
  <si>
    <t>9/10/24-1</t>
  </si>
  <si>
    <t>8 1622901551 6</t>
  </si>
  <si>
    <t>PERD002</t>
  </si>
  <si>
    <t>20th Anniversary Robusto Sungrown</t>
  </si>
  <si>
    <t>8 1006733086 2</t>
  </si>
  <si>
    <t>PERD029</t>
  </si>
  <si>
    <t>30th Anniversary Maduro Epicure</t>
  </si>
  <si>
    <t>8 1006733089 3</t>
  </si>
  <si>
    <t>PERD026</t>
  </si>
  <si>
    <t>30th Anniversary Maduro Goro BP</t>
  </si>
  <si>
    <t>8 1006733085 5</t>
  </si>
  <si>
    <t>PERD028</t>
  </si>
  <si>
    <t>30th Anniversary Maduro Robusto</t>
  </si>
  <si>
    <t>8 1006733083 1</t>
  </si>
  <si>
    <t>PERD025</t>
  </si>
  <si>
    <t>30th Anniversary Connecticut Churchil BP</t>
  </si>
  <si>
    <t>8 1006733093 0</t>
  </si>
  <si>
    <t>PERD027</t>
  </si>
  <si>
    <t>30th Anniversary SG Churchill BP</t>
  </si>
  <si>
    <t>8 1006733091 6</t>
  </si>
  <si>
    <t>PERD024</t>
  </si>
  <si>
    <t>30th Anniversary SG Epicure BP</t>
  </si>
  <si>
    <t>8 1006733092 3</t>
  </si>
  <si>
    <t>PERD023</t>
  </si>
  <si>
    <t>30th Anniversary SG Torpedo BP</t>
  </si>
  <si>
    <t>8 1006733023 7</t>
  </si>
  <si>
    <t>PERD013</t>
  </si>
  <si>
    <t>Perdomo Connoisseur Coll, Award Winning</t>
  </si>
  <si>
    <t>Black</t>
  </si>
  <si>
    <t>5/12/24-2</t>
  </si>
  <si>
    <t>8 1006733020 6</t>
  </si>
  <si>
    <t>PERD015</t>
  </si>
  <si>
    <t>Perdomo Connoisseur Coll, Conecticut</t>
  </si>
  <si>
    <t>Tan</t>
  </si>
  <si>
    <t>12/11/25-2</t>
  </si>
  <si>
    <t>8 1006733021 3</t>
  </si>
  <si>
    <t>PERD014</t>
  </si>
  <si>
    <t>Perdomo Connoisseur Coll, Maduro</t>
  </si>
  <si>
    <t>Blue</t>
  </si>
  <si>
    <t>15/2/24-4</t>
  </si>
  <si>
    <t>8 1006733022 0</t>
  </si>
  <si>
    <t>PERD017</t>
  </si>
  <si>
    <t>Perdomo Connoisseur Coll, Sun Grown</t>
  </si>
  <si>
    <t>Red</t>
  </si>
  <si>
    <t>3/11/22-2</t>
  </si>
  <si>
    <t>22/4/24-2</t>
  </si>
  <si>
    <t>27/2/25-2</t>
  </si>
  <si>
    <t>8 1622901135 8</t>
  </si>
  <si>
    <t>PERD019</t>
  </si>
  <si>
    <t>Perdomo Fresco Bundle, TORO Connecticut</t>
  </si>
  <si>
    <t>2/4/25-2</t>
  </si>
  <si>
    <t>8 1622901136 5</t>
  </si>
  <si>
    <t>PERD020</t>
  </si>
  <si>
    <t>Perdomo Fresco Bundle, TORO Maduro</t>
  </si>
  <si>
    <t>PERD008</t>
  </si>
  <si>
    <t>Perdomo Humi bags Epicure bags Connecticut</t>
  </si>
  <si>
    <t>5 packs x 4ea</t>
  </si>
  <si>
    <t>8 1622901832 6</t>
  </si>
  <si>
    <t>PERD009</t>
  </si>
  <si>
    <t>Perdomo Humi bags Maduro</t>
  </si>
  <si>
    <t>8 1622901831 9</t>
  </si>
  <si>
    <t>PERD010</t>
  </si>
  <si>
    <t>Perdomo Humi bags Sungrown</t>
  </si>
  <si>
    <t>3/4/23-1</t>
  </si>
  <si>
    <t>8 1622901366 6</t>
  </si>
  <si>
    <t>PERD011</t>
  </si>
  <si>
    <t>Perdomo limited Cameroon Edition Petite Corona</t>
  </si>
  <si>
    <t>261907+10</t>
  </si>
  <si>
    <t>3/8/23-3</t>
  </si>
  <si>
    <t>8 1622901720 6</t>
  </si>
  <si>
    <t>PERD006</t>
  </si>
  <si>
    <t>Perdomo Lot 23 Robusto Sungrown Nat</t>
  </si>
  <si>
    <t>268646+4</t>
  </si>
  <si>
    <t>8 1013431201 2</t>
  </si>
  <si>
    <t>PLA014</t>
  </si>
  <si>
    <t>Plasencia Alma del Cielo Boreal, Toro</t>
  </si>
  <si>
    <t>8 1013431205 0</t>
  </si>
  <si>
    <t>PLA015</t>
  </si>
  <si>
    <t>Plasencia Alma del Cielo Celeste Robusto</t>
  </si>
  <si>
    <t>6 8917873647 0</t>
  </si>
  <si>
    <t>PLA009</t>
  </si>
  <si>
    <t>Plasencia</t>
  </si>
  <si>
    <t>Placencia Alma Del Fuego 3 cigar sampler</t>
  </si>
  <si>
    <t>17/1/25-3</t>
  </si>
  <si>
    <t>PLA010</t>
  </si>
  <si>
    <t>Placencia Box Set Sampler</t>
  </si>
  <si>
    <t>Box set</t>
  </si>
  <si>
    <t>19/12/24-2</t>
  </si>
  <si>
    <t>8 1013431193 0</t>
  </si>
  <si>
    <t>PLA013</t>
  </si>
  <si>
    <t>Placencia ROBUSTO COLLECTION</t>
  </si>
  <si>
    <t>38244+15</t>
  </si>
  <si>
    <t>5/2/25-3</t>
  </si>
  <si>
    <t>21/3/25-1</t>
  </si>
  <si>
    <t>14/5/25-3</t>
  </si>
  <si>
    <t>6 8917873621 0</t>
  </si>
  <si>
    <t>PLA002</t>
  </si>
  <si>
    <t>PLASENCA Ama Del Fugo Candete 5 x 50</t>
  </si>
  <si>
    <t>248832+5</t>
  </si>
  <si>
    <t>16/5/22-1</t>
  </si>
  <si>
    <t>8 1013431084 1</t>
  </si>
  <si>
    <t>PLA005</t>
  </si>
  <si>
    <t>Plasencia Alma Fuerte Robustus I -Box 10</t>
  </si>
  <si>
    <t>277330+8</t>
  </si>
  <si>
    <t>7/10/28-2</t>
  </si>
  <si>
    <t>8 1013431092 6</t>
  </si>
  <si>
    <t>PLA004</t>
  </si>
  <si>
    <t>Plasencia Alma Fuerte SIXTO 1. Hexagon Natural -Box 10</t>
  </si>
  <si>
    <t>8 1013431090 2</t>
  </si>
  <si>
    <t>PLA008</t>
  </si>
  <si>
    <t>Plasencia Alma Fuerte SIXTO 11. Hexagon  -Box 10</t>
  </si>
  <si>
    <t>check alliance from time to time</t>
  </si>
  <si>
    <t>377314+1</t>
  </si>
  <si>
    <t>11/11/24-1</t>
  </si>
  <si>
    <t>1/8/24-1</t>
  </si>
  <si>
    <t>PLA007</t>
  </si>
  <si>
    <t>PLASENCIA COSECHA 146 LA VEGA RG ROBUSTO GORDO BX 10</t>
  </si>
  <si>
    <t>239209-31/5/22+4</t>
  </si>
  <si>
    <t>10/5/22-1</t>
  </si>
  <si>
    <t>6 8917873650 0</t>
  </si>
  <si>
    <t>PLA011</t>
  </si>
  <si>
    <t>PLASENCIA COSECHA 149 Santa Fe Gordito</t>
  </si>
  <si>
    <t>8 1013431021 6</t>
  </si>
  <si>
    <t>PLA012</t>
  </si>
  <si>
    <t>PLASENCIA COSECHA 151 San Diago Corona</t>
  </si>
  <si>
    <t>259750+10</t>
  </si>
  <si>
    <t>16/1/25-1</t>
  </si>
  <si>
    <t>8 1013431066 7</t>
  </si>
  <si>
    <t>PLA006</t>
  </si>
  <si>
    <t>Plasencia Reserva Orginal Robusto Box 10</t>
  </si>
  <si>
    <t>277312+10</t>
  </si>
  <si>
    <t>8 4626102301 9</t>
  </si>
  <si>
    <t>ROP004</t>
  </si>
  <si>
    <t>Rocky Patel</t>
  </si>
  <si>
    <t xml:space="preserve">Rocky Patel  2006 San Andreas Vintage 2006 Toro </t>
  </si>
  <si>
    <t>249089+8</t>
  </si>
  <si>
    <t>ROP044</t>
  </si>
  <si>
    <t>Rocky Patel - DBS - Robusto</t>
  </si>
  <si>
    <t>248347+5</t>
  </si>
  <si>
    <t>13/11/24-2</t>
  </si>
  <si>
    <t>8 4626100075 1</t>
  </si>
  <si>
    <t>ROP019</t>
  </si>
  <si>
    <t>Rocky Patel - Decade - Toro - box 20</t>
  </si>
  <si>
    <t>246523+8</t>
  </si>
  <si>
    <t>ROP006</t>
  </si>
  <si>
    <t>Rocky Patel - Decade Toro Tubo - Box 10</t>
  </si>
  <si>
    <t>3/11/21-1</t>
  </si>
  <si>
    <t>8 4626103023 9</t>
  </si>
  <si>
    <t>ROP042</t>
  </si>
  <si>
    <t xml:space="preserve">Rocky Patel - EDGE 20th Anniversary Robusto </t>
  </si>
  <si>
    <t>10/2/23-2</t>
  </si>
  <si>
    <t>3/7/24-2</t>
  </si>
  <si>
    <t>ROP043</t>
  </si>
  <si>
    <t>Rocky Patel - EDGE 20th Anniversary Toro</t>
  </si>
  <si>
    <t>275243+1</t>
  </si>
  <si>
    <t>29/3/23-1</t>
  </si>
  <si>
    <t>ROP026</t>
  </si>
  <si>
    <t>Rocky Patel - Quarter Century ROB- 20</t>
  </si>
  <si>
    <t>ROP029</t>
  </si>
  <si>
    <t>Rocky Patel - Quarter Century SIXTY- 20</t>
  </si>
  <si>
    <t>6/4/22-3</t>
  </si>
  <si>
    <t>8 4626102717 8</t>
  </si>
  <si>
    <t>ROP025</t>
  </si>
  <si>
    <t>Rocky Patel - Quarter Century Toro - 20</t>
  </si>
  <si>
    <t>257615+1</t>
  </si>
  <si>
    <t>8/10/23-1</t>
  </si>
  <si>
    <t>8 462610277418</t>
  </si>
  <si>
    <t>ROP038</t>
  </si>
  <si>
    <t xml:space="preserve">Rocky Patel  SIXTY 1961-2021 - Robusto </t>
  </si>
  <si>
    <t>256119+2</t>
  </si>
  <si>
    <t>6/2/23-1</t>
  </si>
  <si>
    <t>8 462610277890</t>
  </si>
  <si>
    <t>ROP039</t>
  </si>
  <si>
    <t xml:space="preserve">Rocky Patel  SIXTY SIXTY 1961-2021 </t>
  </si>
  <si>
    <t>259927+2</t>
  </si>
  <si>
    <t>8 4626100007 2</t>
  </si>
  <si>
    <t>ROP034</t>
  </si>
  <si>
    <t>Rocky Patel 1990 -12 year, Petite Corona, (4 1/2 x 44), 20 per box</t>
  </si>
  <si>
    <t>8 4626100035 5</t>
  </si>
  <si>
    <t>ROP035</t>
  </si>
  <si>
    <t>Rocky Patel 1992 10 year  Petite Corona</t>
  </si>
  <si>
    <t>277368+8</t>
  </si>
  <si>
    <t>8 4626100004 1</t>
  </si>
  <si>
    <t>ROP010</t>
  </si>
  <si>
    <t>Rocky Patel 1992 Vintage Juniors 5 per Tin 10 per unit</t>
  </si>
  <si>
    <t>5 x 10tins</t>
  </si>
  <si>
    <t>8 4626100053 9</t>
  </si>
  <si>
    <t>ROP036</t>
  </si>
  <si>
    <t>Rocky Patel 1999 Connectitut petit corona 7 year</t>
  </si>
  <si>
    <t>277331+7</t>
  </si>
  <si>
    <t>15/10/25-2</t>
  </si>
  <si>
    <t>8 4626102571 8</t>
  </si>
  <si>
    <t>ROP011</t>
  </si>
  <si>
    <t>Rocky Patel ALR 2nd Ed. Robusto Box 20</t>
  </si>
  <si>
    <t>275243+2</t>
  </si>
  <si>
    <t>8 4626102575 4</t>
  </si>
  <si>
    <t>ROP047</t>
  </si>
  <si>
    <t>Rocky Patel ALR 2nd Ed. SIXTY Box 21</t>
  </si>
  <si>
    <t>12/9/24-2</t>
  </si>
  <si>
    <t>8 4626102574 7</t>
  </si>
  <si>
    <t>ROP013</t>
  </si>
  <si>
    <t>Rocky Patel ALR 2nd Ed. TORO Box 20</t>
  </si>
  <si>
    <t>275075+1</t>
  </si>
  <si>
    <t>10/4/25-2</t>
  </si>
  <si>
    <t>30/5/25-2</t>
  </si>
  <si>
    <t>Boxes</t>
  </si>
  <si>
    <t>Rocky patel</t>
  </si>
  <si>
    <t>Rocky Patel CSWCR</t>
  </si>
  <si>
    <t>35198+6</t>
  </si>
  <si>
    <t>18/5/23-1</t>
  </si>
  <si>
    <t>15/8/23-1</t>
  </si>
  <si>
    <t>ROP018</t>
  </si>
  <si>
    <t>Rocky Patel Deluxe Tubo Sampler 6 pack</t>
  </si>
  <si>
    <t>31/8/21-2</t>
  </si>
  <si>
    <t>ROP022</t>
  </si>
  <si>
    <t>Rocky Patel event Sampler - 5 Robusto</t>
  </si>
  <si>
    <t>2/9/21-1</t>
  </si>
  <si>
    <t>8 4626102628 7</t>
  </si>
  <si>
    <t>ROP030</t>
  </si>
  <si>
    <t>ROCKY PATEL FRESH PK ALL STAR TORO</t>
  </si>
  <si>
    <t>blue 8 pacs per</t>
  </si>
  <si>
    <t>30/3/22-1</t>
  </si>
  <si>
    <t>8 4626102630 0</t>
  </si>
  <si>
    <t>ROP031</t>
  </si>
  <si>
    <t>ROCKY PATEL FRESH PK SAMP HOND TORO</t>
  </si>
  <si>
    <t>red 8 pacs per</t>
  </si>
  <si>
    <t>3/12/21-2</t>
  </si>
  <si>
    <t>16/10/23-2</t>
  </si>
  <si>
    <t>ROP032</t>
  </si>
  <si>
    <t>ROCKY PATEL FRESH PK SAMP NICA TORO</t>
  </si>
  <si>
    <t>orange 8 pacs per</t>
  </si>
  <si>
    <t>237628+24</t>
  </si>
  <si>
    <t>7/03/22-1</t>
  </si>
  <si>
    <t>10/12/22-8</t>
  </si>
  <si>
    <t>14/08/24-1</t>
  </si>
  <si>
    <t>8 4626103164 9</t>
  </si>
  <si>
    <t>ROP048</t>
  </si>
  <si>
    <t>Rocky Patel Gold Label Half Corona</t>
  </si>
  <si>
    <t>20/5/25-1</t>
  </si>
  <si>
    <t>8 4626103166 3</t>
  </si>
  <si>
    <t>ROP049</t>
  </si>
  <si>
    <t>Rocky Patel Gold Label Robusto</t>
  </si>
  <si>
    <t>6/6/25-2</t>
  </si>
  <si>
    <t>9/9/25-2</t>
  </si>
  <si>
    <t>8 4626102358 3</t>
  </si>
  <si>
    <t>ROP027</t>
  </si>
  <si>
    <t>Rocky Patel Grand Reserve ROB - 10's</t>
  </si>
  <si>
    <t>8 1626102360 6</t>
  </si>
  <si>
    <t>ROP009</t>
  </si>
  <si>
    <t>Rocky Patel Grand Reserve Toro Box of 10</t>
  </si>
  <si>
    <t>3/4/22-1</t>
  </si>
  <si>
    <t>29/4/22-2</t>
  </si>
  <si>
    <t>8 4626102563 1</t>
  </si>
  <si>
    <t>ROP014</t>
  </si>
  <si>
    <t>Rocky Patel LB1 Robusto - Box 20</t>
  </si>
  <si>
    <t>ROP016</t>
  </si>
  <si>
    <t>Rocky Patel Meritage Blend Robusto - 20'</t>
  </si>
  <si>
    <t>22/11/21-2</t>
  </si>
  <si>
    <t>4/7/24-1</t>
  </si>
  <si>
    <t>ROP015</t>
  </si>
  <si>
    <t>Rocky Patel Meritage Blend Toro - Box 20</t>
  </si>
  <si>
    <t>27/2/24-1</t>
  </si>
  <si>
    <t>8 4626102555 6</t>
  </si>
  <si>
    <t>ROP028</t>
  </si>
  <si>
    <t>Rocky Patel No.6 Robusto - box 20</t>
  </si>
  <si>
    <t>260492+2</t>
  </si>
  <si>
    <t>3/11/22-1</t>
  </si>
  <si>
    <t>26/1/22-1</t>
  </si>
  <si>
    <t>8 4626102557 0</t>
  </si>
  <si>
    <t>ROP037</t>
  </si>
  <si>
    <t>Rocky Patel No.6 SIXTY - box of 20</t>
  </si>
  <si>
    <t>17/1/23-1</t>
  </si>
  <si>
    <t>5/2/24-4</t>
  </si>
  <si>
    <t>8 4626102559</t>
  </si>
  <si>
    <t>ROP017</t>
  </si>
  <si>
    <t>Rocky Patel No.6 Toro - box of 20</t>
  </si>
  <si>
    <t>2/5 274412+1</t>
  </si>
  <si>
    <t>5/2/25-2</t>
  </si>
  <si>
    <t>8 462610277654</t>
  </si>
  <si>
    <t>ROP040</t>
  </si>
  <si>
    <t>Rocky Patel SIXTY TORO</t>
  </si>
  <si>
    <t>264376+1</t>
  </si>
  <si>
    <t>25/3/22-8</t>
  </si>
  <si>
    <t>27/3/23-1</t>
  </si>
  <si>
    <t>7/6/241</t>
  </si>
  <si>
    <t>8 4626101274 7</t>
  </si>
  <si>
    <t>ROP020</t>
  </si>
  <si>
    <t>Rocky Patel Sun Grown Maduro Robusto Box 20</t>
  </si>
  <si>
    <t>ROP045</t>
  </si>
  <si>
    <t>Rocky Patel TORO Tubo Sampler 6 pack</t>
  </si>
  <si>
    <t>265162+3</t>
  </si>
  <si>
    <t>5/6/23-3</t>
  </si>
  <si>
    <t>12/6/23-1</t>
  </si>
  <si>
    <t>26/1/24-2</t>
  </si>
  <si>
    <t>XMAS 17</t>
  </si>
  <si>
    <t>ROP024</t>
  </si>
  <si>
    <t>Rocky Patel Travel Case Decade Robusto - 10's</t>
  </si>
  <si>
    <t>14/7/21-1</t>
  </si>
  <si>
    <t>ROP023</t>
  </si>
  <si>
    <t>Rocky Patel Travel Case No. 6 - 10's</t>
  </si>
  <si>
    <t>236073+5</t>
  </si>
  <si>
    <t>2/8/24-2</t>
  </si>
  <si>
    <t>ROP041</t>
  </si>
  <si>
    <t>Rocky Patel Vintage Robusto sampler</t>
  </si>
  <si>
    <t>246954+20</t>
  </si>
  <si>
    <t>19624-1</t>
  </si>
  <si>
    <t>26/8/24-2</t>
  </si>
  <si>
    <t>ROP021</t>
  </si>
  <si>
    <t>Rocky Patel Vintage Sampler 6 Robusto</t>
  </si>
  <si>
    <t>18/8/21-2</t>
  </si>
  <si>
    <t>8 4626100395 0</t>
  </si>
  <si>
    <t>ROP001</t>
  </si>
  <si>
    <t>Rocky Patel-15th Anniversary Torpedo -20</t>
  </si>
  <si>
    <t>239038-31/5/22+5</t>
  </si>
  <si>
    <t>6/9/23-2</t>
  </si>
  <si>
    <t>3/8/24-1</t>
  </si>
  <si>
    <t>6 4767934539 3</t>
  </si>
  <si>
    <t>SDR003</t>
  </si>
  <si>
    <t>Sothern Draw</t>
  </si>
  <si>
    <t>Sothern Draw  Jacobs Ladder Robusto</t>
  </si>
  <si>
    <t>36028+5</t>
  </si>
  <si>
    <t>6 4767934546 1</t>
  </si>
  <si>
    <t>SDR004</t>
  </si>
  <si>
    <t>Sothern Draw  Jacobs Ladder Toro</t>
  </si>
  <si>
    <t>6 3831790924 4</t>
  </si>
  <si>
    <t>SDR002</t>
  </si>
  <si>
    <t>Sothern Draw Rose of Sharon Robusto</t>
  </si>
  <si>
    <t>28/4/25-2</t>
  </si>
  <si>
    <t>6 3831790931 2</t>
  </si>
  <si>
    <t>SDR001</t>
  </si>
  <si>
    <t>Sothern Draw Rose of Sharon Toro</t>
  </si>
  <si>
    <t>TATT003</t>
  </si>
  <si>
    <t>Tatuaje</t>
  </si>
  <si>
    <t>Tatuaje Black Lable Corona Gordo</t>
  </si>
  <si>
    <t>6 5198900149 8</t>
  </si>
  <si>
    <t>TATT005</t>
  </si>
  <si>
    <t>Tatuaje Cabaiguan Belicoso Fino</t>
  </si>
  <si>
    <t>266999+5</t>
  </si>
  <si>
    <t>TATT004</t>
  </si>
  <si>
    <t>Tatuaje Cazadore Noellas</t>
  </si>
  <si>
    <t>20/8/21-1</t>
  </si>
  <si>
    <t>30/8/23-1</t>
  </si>
  <si>
    <t>6 5198900169 6</t>
  </si>
  <si>
    <t>TATT006</t>
  </si>
  <si>
    <t>Tatuaje FAUSTO</t>
  </si>
  <si>
    <t>39361+10</t>
  </si>
  <si>
    <t>28/8/25-2cs</t>
  </si>
  <si>
    <t>TATT002</t>
  </si>
  <si>
    <t>Tatuaje Nuevitas Jibaro No.1 Robusto 50s</t>
  </si>
  <si>
    <t>14/8/21-1</t>
  </si>
  <si>
    <t>6 5198900115 3</t>
  </si>
  <si>
    <t>TATT001</t>
  </si>
  <si>
    <t>Tatuaje Tattoo</t>
  </si>
  <si>
    <t>email Barbara and emre</t>
  </si>
  <si>
    <t>38074+1</t>
  </si>
  <si>
    <t>5/8/22-1</t>
  </si>
  <si>
    <t>13/9/22-1</t>
  </si>
  <si>
    <t>8 059145100788</t>
  </si>
  <si>
    <t>TOS008</t>
  </si>
  <si>
    <t>Toscano</t>
  </si>
  <si>
    <t>Toscanello Natural</t>
  </si>
  <si>
    <t>10 per outer</t>
  </si>
  <si>
    <t>272090+10</t>
  </si>
  <si>
    <t>8 059145300669</t>
  </si>
  <si>
    <t>TOS003</t>
  </si>
  <si>
    <t>Toscano Antico pack of 5</t>
  </si>
  <si>
    <t>8 059145100696</t>
  </si>
  <si>
    <t>TOS004</t>
  </si>
  <si>
    <t>Toscano Classico - pack of 5</t>
  </si>
  <si>
    <t>277348+11</t>
  </si>
  <si>
    <t>8 059145305923</t>
  </si>
  <si>
    <t>TOS001</t>
  </si>
  <si>
    <t>Toscano Extra Vecchio</t>
  </si>
  <si>
    <t>38194+20</t>
  </si>
  <si>
    <t>22/5/25-3</t>
  </si>
  <si>
    <t>17/6/25-4</t>
  </si>
  <si>
    <t>VF001</t>
  </si>
  <si>
    <t>Vega Fina</t>
  </si>
  <si>
    <t xml:space="preserve">VEGA FINA TORPEDO 6"X 50 </t>
  </si>
  <si>
    <t>244022+2</t>
  </si>
  <si>
    <t>Vegas</t>
  </si>
  <si>
    <t>Aging Room Bin No.1</t>
  </si>
  <si>
    <t>vegas 17 sticks</t>
  </si>
  <si>
    <t>WAR001</t>
  </si>
  <si>
    <t>Warpped</t>
  </si>
  <si>
    <t>Warped Eagles Descent, Toro Especial</t>
  </si>
  <si>
    <t>30/6/22,240232+5</t>
  </si>
  <si>
    <t>3/7/22-1</t>
  </si>
  <si>
    <t>7/8/23-2</t>
  </si>
  <si>
    <t>XM10</t>
  </si>
  <si>
    <t>XMAS</t>
  </si>
  <si>
    <t>XMAS Packs</t>
  </si>
  <si>
    <t>3/12/25-5</t>
  </si>
  <si>
    <t>4/12/25-5</t>
  </si>
  <si>
    <t>10/12/25-5</t>
  </si>
  <si>
    <t>12/12/25-10</t>
  </si>
  <si>
    <t>15/12/25-10</t>
  </si>
  <si>
    <t>20/11/25-5</t>
  </si>
  <si>
    <t>25/11/25-5</t>
  </si>
  <si>
    <t>28/11/25-10</t>
  </si>
  <si>
    <t>XM15</t>
  </si>
  <si>
    <t>XM20</t>
  </si>
  <si>
    <t>use 10s</t>
  </si>
  <si>
    <t>PAD024</t>
  </si>
  <si>
    <t>Padron</t>
  </si>
  <si>
    <t>Padron 2000 Maduro</t>
  </si>
  <si>
    <t>431994+10 padron</t>
  </si>
  <si>
    <t>5/7/22-4</t>
  </si>
  <si>
    <t>8/5/22-1</t>
  </si>
  <si>
    <t>15/7/22adj</t>
  </si>
  <si>
    <t>PAD004</t>
  </si>
  <si>
    <t>Padron 2000 NATURAL</t>
  </si>
  <si>
    <t>16/5/22-3</t>
  </si>
  <si>
    <t>PAD021</t>
  </si>
  <si>
    <t>Padron 3000 Maduro</t>
  </si>
  <si>
    <t>20/6/22-0</t>
  </si>
  <si>
    <t>PAD001</t>
  </si>
  <si>
    <t>Padron 3000 NATURAL</t>
  </si>
  <si>
    <t>PAD061</t>
  </si>
  <si>
    <t>Padron 4000 Maduro</t>
  </si>
  <si>
    <t>B35040+1</t>
  </si>
  <si>
    <t>21/3/22-1</t>
  </si>
  <si>
    <t>PAD031</t>
  </si>
  <si>
    <t>Padron 4000 Natural</t>
  </si>
  <si>
    <t>237543+1</t>
  </si>
  <si>
    <t>PAD032</t>
  </si>
  <si>
    <t>Padron 5000 Natural</t>
  </si>
  <si>
    <t>B35040+2</t>
  </si>
  <si>
    <t>9/4/22-4</t>
  </si>
  <si>
    <t>PAD053</t>
  </si>
  <si>
    <t>Padron 5000 Maduro</t>
  </si>
  <si>
    <t>237628+1</t>
  </si>
  <si>
    <t>9/4/22-5</t>
  </si>
  <si>
    <t>PAD022</t>
  </si>
  <si>
    <t>Padron 6000 Maduro</t>
  </si>
  <si>
    <t>235974+1</t>
  </si>
  <si>
    <t>PAD064</t>
  </si>
  <si>
    <t>Padron 7000 Maduro</t>
  </si>
  <si>
    <t>431994+5 padron</t>
  </si>
  <si>
    <t>28/3/22-1</t>
  </si>
  <si>
    <t>PAD037</t>
  </si>
  <si>
    <t>Padron Cortico Natural</t>
  </si>
  <si>
    <t>431994+24</t>
  </si>
  <si>
    <t>PAD040</t>
  </si>
  <si>
    <t>Padron Cortico Maduro</t>
  </si>
  <si>
    <t>PAD025</t>
  </si>
  <si>
    <t>Padron Londres Maduro</t>
  </si>
  <si>
    <t>53024+4</t>
  </si>
  <si>
    <t>PAD009</t>
  </si>
  <si>
    <t>Padron Londres Natural</t>
  </si>
  <si>
    <t>35030+2</t>
  </si>
  <si>
    <t>23/1/22-3</t>
  </si>
  <si>
    <t>PAD006</t>
  </si>
  <si>
    <t>Padron Delicias Natural</t>
  </si>
  <si>
    <t>35062-11/6/22+1</t>
  </si>
  <si>
    <t>PAD088</t>
  </si>
  <si>
    <t>Padron Delicias Maduro</t>
  </si>
  <si>
    <t>35062-11/6/22+4</t>
  </si>
  <si>
    <t>PAD121</t>
  </si>
  <si>
    <t>Padron No. 90 Natural</t>
  </si>
  <si>
    <t>PAD05</t>
  </si>
  <si>
    <t>Padron Chuchill NATURAL</t>
  </si>
  <si>
    <t>3530+1</t>
  </si>
  <si>
    <t>PAD020</t>
  </si>
  <si>
    <t>Padron Chuchill Maduro</t>
  </si>
  <si>
    <t>53029+4</t>
  </si>
  <si>
    <t>29/12/21-2</t>
  </si>
  <si>
    <t>PAD017</t>
  </si>
  <si>
    <t>P</t>
  </si>
  <si>
    <t>Padron 1964 Corona NATURAL</t>
  </si>
  <si>
    <t>431994+2</t>
  </si>
  <si>
    <t>28/11/21-3</t>
  </si>
  <si>
    <t>PAD018</t>
  </si>
  <si>
    <t>Padron 1964 Corona Maduro</t>
  </si>
  <si>
    <t>431994+3</t>
  </si>
  <si>
    <t>PAD016</t>
  </si>
  <si>
    <t>Padron 1964 Principe Natural</t>
  </si>
  <si>
    <t>PAD015</t>
  </si>
  <si>
    <t>Padron 1964 Principe Maduro</t>
  </si>
  <si>
    <t>27/6/22-2</t>
  </si>
  <si>
    <t>PAD035</t>
  </si>
  <si>
    <t>Padron 1964 Diplomatico Natural</t>
  </si>
  <si>
    <t>234589+2</t>
  </si>
  <si>
    <t>ctccan2</t>
  </si>
  <si>
    <t>PAD014</t>
  </si>
  <si>
    <t>Padron 1964 Diplomatico Maduro</t>
  </si>
  <si>
    <t>431994+10</t>
  </si>
  <si>
    <t>28/06/22-2</t>
  </si>
  <si>
    <t>PAD013</t>
  </si>
  <si>
    <t xml:space="preserve">Padron 1964 Exclusivo Natural  </t>
  </si>
  <si>
    <t>431994+4</t>
  </si>
  <si>
    <t>PAD023</t>
  </si>
  <si>
    <t xml:space="preserve">Padron 1964 Exclusivo Maduro </t>
  </si>
  <si>
    <t>PAD120</t>
  </si>
  <si>
    <t>Padron 1964 Belicoso Maduro</t>
  </si>
  <si>
    <t>Padron 1964 Belicoso Natural</t>
  </si>
  <si>
    <t>35040-31/5/22+2</t>
  </si>
  <si>
    <t>PAD029</t>
  </si>
  <si>
    <t>Padron 1964 Torpedo Maduro</t>
  </si>
  <si>
    <t>35040-31/5/22+3</t>
  </si>
  <si>
    <t>PAD019</t>
  </si>
  <si>
    <t>Padron 1964 Torpedo Natural</t>
  </si>
  <si>
    <t>PAD116</t>
  </si>
  <si>
    <t>Padron 1964 Hermoso Maduro</t>
  </si>
  <si>
    <t>237292+1</t>
  </si>
  <si>
    <t>PAD115</t>
  </si>
  <si>
    <t>Padron 1964 Hermoso Natural</t>
  </si>
  <si>
    <t>PAD026</t>
  </si>
  <si>
    <t>Padron 1964 Monarca</t>
  </si>
  <si>
    <t>431994+1</t>
  </si>
  <si>
    <t>PAD033</t>
  </si>
  <si>
    <t>Padron 1964 Superior Natural</t>
  </si>
  <si>
    <t>Padron 1964 Superior Maduro</t>
  </si>
  <si>
    <t>PAD126</t>
  </si>
  <si>
    <t>Padron 1964 Soberano Natural</t>
  </si>
  <si>
    <t>PAD101</t>
  </si>
  <si>
    <t>Padron 1964 Anniversary No. 4 Natural</t>
  </si>
  <si>
    <t>235900+1</t>
  </si>
  <si>
    <t>PAD081</t>
  </si>
  <si>
    <t>Padron 1964 Sampler Natural</t>
  </si>
  <si>
    <t>PAD082</t>
  </si>
  <si>
    <t>Padron 1964 Sampler Maduro</t>
  </si>
  <si>
    <t>4/1/22-3</t>
  </si>
  <si>
    <t>PAD048</t>
  </si>
  <si>
    <t>Padron 1926 No.2 Natural</t>
  </si>
  <si>
    <t>431994+3 Padron</t>
  </si>
  <si>
    <t>PAD0480</t>
  </si>
  <si>
    <t>PAD044</t>
  </si>
  <si>
    <t>Padron 1926 No. 2 Maduro</t>
  </si>
  <si>
    <t>431994+3padron</t>
  </si>
  <si>
    <t>PAD047</t>
  </si>
  <si>
    <t>Padron 1926 No.6 Natural</t>
  </si>
  <si>
    <t>35029+3</t>
  </si>
  <si>
    <t>25/3/22-2</t>
  </si>
  <si>
    <t>PAD043</t>
  </si>
  <si>
    <t>Padron 1926 No.6 Maduro</t>
  </si>
  <si>
    <t>35035+2</t>
  </si>
  <si>
    <t>PAD046</t>
  </si>
  <si>
    <t>Padron 1926 No.9 Natural</t>
  </si>
  <si>
    <t>B5040+2</t>
  </si>
  <si>
    <t>PAD058</t>
  </si>
  <si>
    <t xml:space="preserve">Padron 1926 No.35 Maduro </t>
  </si>
  <si>
    <t>431994+5</t>
  </si>
  <si>
    <t>8/5/22-2</t>
  </si>
  <si>
    <t>PAD057</t>
  </si>
  <si>
    <t>Padron 1926 No.35 natural</t>
  </si>
  <si>
    <t>PAD098</t>
  </si>
  <si>
    <t>Padron 1926 Gift pack Natural</t>
  </si>
  <si>
    <t>PAD051</t>
  </si>
  <si>
    <t>Padron 1926 Gift Pack Maduro</t>
  </si>
  <si>
    <t>PAD089</t>
  </si>
  <si>
    <t>Padron FR No 44 Maduro</t>
  </si>
  <si>
    <t>PAD090</t>
  </si>
  <si>
    <t>Padron FR No 44 Natural</t>
  </si>
  <si>
    <t>431994+1 Padron</t>
  </si>
  <si>
    <t>PAD085</t>
  </si>
  <si>
    <t>Padron FR No 45 Maduro</t>
  </si>
  <si>
    <t>B35040+3</t>
  </si>
  <si>
    <t>7/6/22-3</t>
  </si>
  <si>
    <t>PAD106</t>
  </si>
  <si>
    <t>Padron FR No 50 Maduro</t>
  </si>
  <si>
    <t>23/6/22-3</t>
  </si>
  <si>
    <t>PAD105</t>
  </si>
  <si>
    <t>Padron FR No 50 Natural</t>
  </si>
  <si>
    <t>PAD124</t>
  </si>
  <si>
    <t xml:space="preserve">Padron </t>
  </si>
  <si>
    <t>Padron FR Gift Pack</t>
  </si>
  <si>
    <t>PAD109</t>
  </si>
  <si>
    <t>Padron Damaso N8</t>
  </si>
  <si>
    <t>PAD110</t>
  </si>
  <si>
    <t>Padron Damaso N12</t>
  </si>
  <si>
    <t>PAD111</t>
  </si>
  <si>
    <t>Padron Damaso N15</t>
  </si>
  <si>
    <t>PAD112</t>
  </si>
  <si>
    <t>Padron Damaso N17</t>
  </si>
  <si>
    <t>PAD117</t>
  </si>
  <si>
    <t>Padron Damaso N32</t>
  </si>
  <si>
    <t>PAD118</t>
  </si>
  <si>
    <t>Padron Damaso N34</t>
  </si>
  <si>
    <t>PAD097</t>
  </si>
  <si>
    <t>Padron Sampler Natural</t>
  </si>
  <si>
    <t>431994+5padron</t>
  </si>
  <si>
    <t>PAD062</t>
  </si>
  <si>
    <t xml:space="preserve">Padron Sampler Maduro </t>
  </si>
  <si>
    <t>PAD125</t>
  </si>
  <si>
    <t>Padron Collection Natural</t>
  </si>
  <si>
    <t>431994+5 Padron</t>
  </si>
  <si>
    <t>PAD131</t>
  </si>
  <si>
    <t>Padron Collection Maduro</t>
  </si>
  <si>
    <t>xxxxxx   18/6/25</t>
  </si>
  <si>
    <t>8 506000011494</t>
  </si>
  <si>
    <t>BOLIVAR GOLD MEDAL</t>
  </si>
  <si>
    <t>8 506000001341</t>
  </si>
  <si>
    <t>BOL010</t>
  </si>
  <si>
    <t>BOLIVAR PETIT CORONAS</t>
  </si>
  <si>
    <t>8 506000001334</t>
  </si>
  <si>
    <t>BOL016</t>
  </si>
  <si>
    <t>BOLIVAR CORONA JUNIOR</t>
  </si>
  <si>
    <t>8 506000001280</t>
  </si>
  <si>
    <t>BOL008</t>
  </si>
  <si>
    <t>BOLIVAR TUBOS NO.2</t>
  </si>
  <si>
    <t>8 506000001372</t>
  </si>
  <si>
    <t>BOL007</t>
  </si>
  <si>
    <t>BOLIVAR ROYAL CORONAS</t>
  </si>
  <si>
    <t>BOL021</t>
  </si>
  <si>
    <t>BOLIVAR LIBERTADOR</t>
  </si>
  <si>
    <t>COH0031</t>
  </si>
  <si>
    <t>Cuba COHIBA</t>
  </si>
  <si>
    <t>SIGLO VI  Pack of 3'SX5, 15'S  Tubes</t>
  </si>
  <si>
    <t>COH008</t>
  </si>
  <si>
    <t>SIGLO III  25'S</t>
  </si>
  <si>
    <t>COH013</t>
  </si>
  <si>
    <t>Mon</t>
  </si>
  <si>
    <t>SIGLO VI  SLB 25'S</t>
  </si>
  <si>
    <t>Mon+6</t>
  </si>
  <si>
    <t>30/8/22-2</t>
  </si>
  <si>
    <t>0000 58367275</t>
  </si>
  <si>
    <t>COH020</t>
  </si>
  <si>
    <t>SECRETOS  Maduro 5"  25'S     (Spain?)</t>
  </si>
  <si>
    <t>1/11/21-1</t>
  </si>
  <si>
    <t>0000 55400056</t>
  </si>
  <si>
    <t>COH024</t>
  </si>
  <si>
    <t>SECRETOS  Maduro 5"  10'S (Spain?)</t>
  </si>
  <si>
    <t>30/10/23-4</t>
  </si>
  <si>
    <t>COH031</t>
  </si>
  <si>
    <t>SIGLO VI  SLB 10'S</t>
  </si>
  <si>
    <t>6/7/21-3</t>
  </si>
  <si>
    <t>4/6/25-2</t>
  </si>
  <si>
    <t>COH033</t>
  </si>
  <si>
    <r>
      <t xml:space="preserve">BEHIKE - </t>
    </r>
    <r>
      <rPr>
        <color indexed="12"/>
        <family val="2"/>
        <scheme val="minor"/>
        <sz val="9"/>
        <rFont val="Calibri"/>
      </rPr>
      <t>BHK 52</t>
    </r>
    <r>
      <rPr>
        <family val="2"/>
        <sz val="9"/>
        <rFont val="Arial"/>
      </rPr>
      <t xml:space="preserve">  10'S</t>
    </r>
  </si>
  <si>
    <t>17/9/22-2</t>
  </si>
  <si>
    <t>28/02/25-1</t>
  </si>
  <si>
    <t>COH034</t>
  </si>
  <si>
    <r>
      <t xml:space="preserve">BEHIKE - </t>
    </r>
    <r>
      <rPr>
        <color indexed="12"/>
        <family val="2"/>
        <scheme val="minor"/>
        <sz val="9"/>
        <rFont val="Calibri"/>
      </rPr>
      <t>BHK 54</t>
    </r>
    <r>
      <rPr>
        <family val="2"/>
        <sz val="9"/>
        <rFont val="Arial"/>
      </rPr>
      <t xml:space="preserve">  10'S</t>
    </r>
  </si>
  <si>
    <t>mont +1</t>
  </si>
  <si>
    <t>5/3/25-2</t>
  </si>
  <si>
    <t>COH035</t>
  </si>
  <si>
    <r>
      <t xml:space="preserve">BEHIKE - </t>
    </r>
    <r>
      <rPr>
        <color indexed="12"/>
        <family val="2"/>
        <scheme val="minor"/>
        <sz val="9"/>
        <rFont val="Calibri"/>
      </rPr>
      <t xml:space="preserve">BHK 56 </t>
    </r>
    <r>
      <rPr>
        <family val="2"/>
        <sz val="9"/>
        <rFont val="Arial"/>
      </rPr>
      <t xml:space="preserve"> 10'S</t>
    </r>
  </si>
  <si>
    <t>COH042</t>
  </si>
  <si>
    <t>TALISMAN  10'S  - LE 2017</t>
  </si>
  <si>
    <t>16/9/21-1</t>
  </si>
  <si>
    <t>1/6/23-3</t>
  </si>
  <si>
    <t>30/12/24-2</t>
  </si>
  <si>
    <t>COH044</t>
  </si>
  <si>
    <t xml:space="preserve">PIRAMIDES EXTRA  Pack of 3'SX5, 15'S  Tubes </t>
  </si>
  <si>
    <t>CC 18/6/22</t>
  </si>
  <si>
    <t>COH037</t>
  </si>
  <si>
    <t>PIRAMIDES EXTRA</t>
  </si>
  <si>
    <t>0000 59230656</t>
  </si>
  <si>
    <t>COH049</t>
  </si>
  <si>
    <t>COHIBA 55 ANIVERSARY</t>
  </si>
  <si>
    <t>MONTE</t>
  </si>
  <si>
    <t>8 500001546382</t>
  </si>
  <si>
    <t>COH088</t>
  </si>
  <si>
    <t>Shorts Humidor 88 - Year of the Rabbit</t>
  </si>
  <si>
    <t>29/1/24-2</t>
  </si>
  <si>
    <t>0000 59720512</t>
  </si>
  <si>
    <t>COH023</t>
  </si>
  <si>
    <t>COHIBA MAGICOS 10</t>
  </si>
  <si>
    <t>COH021</t>
  </si>
  <si>
    <t>Cohiba Magicos 25's</t>
  </si>
  <si>
    <t>0000 56980779</t>
  </si>
  <si>
    <t>COH002</t>
  </si>
  <si>
    <t>COHIBA CORONA ESPECIALES</t>
  </si>
  <si>
    <t>COH004</t>
  </si>
  <si>
    <t>COHIBA ESPLENDIDOS</t>
  </si>
  <si>
    <t>0000 52859748</t>
  </si>
  <si>
    <t>COH011</t>
  </si>
  <si>
    <t>COHIBA PANATELLAS</t>
  </si>
  <si>
    <t>COH001</t>
  </si>
  <si>
    <t>COHIBA ROBUSTOS</t>
  </si>
  <si>
    <t>0000 59866730</t>
  </si>
  <si>
    <t>COH006</t>
  </si>
  <si>
    <t>COHIBA SIGLO 1</t>
  </si>
  <si>
    <t>0000 61788024</t>
  </si>
  <si>
    <t>COH007</t>
  </si>
  <si>
    <t>COHIBA SIGLO 2</t>
  </si>
  <si>
    <t>11/7/25-1</t>
  </si>
  <si>
    <t>5/12/25-2</t>
  </si>
  <si>
    <t>0000 62311231</t>
  </si>
  <si>
    <t>COHIBA SIGLO 3</t>
  </si>
  <si>
    <t>0000 54823807</t>
  </si>
  <si>
    <t>COH041</t>
  </si>
  <si>
    <t xml:space="preserve">COHIBA MEDIO SIGLO </t>
  </si>
  <si>
    <t>0000 58046922</t>
  </si>
  <si>
    <t>COH010</t>
  </si>
  <si>
    <t>COHIBA SIGLO 5</t>
  </si>
  <si>
    <t>6/11/25-2</t>
  </si>
  <si>
    <t>COH009</t>
  </si>
  <si>
    <t>COHIBA SIGLO 4</t>
  </si>
  <si>
    <t>COH048</t>
  </si>
  <si>
    <t xml:space="preserve">COHIBA SIGLO DE ORO YEAR OF THE RABBIT </t>
  </si>
  <si>
    <t>COM003</t>
  </si>
  <si>
    <t>COHIBA COMBINACIONES ROBUSTO</t>
  </si>
  <si>
    <t>8 506000011333</t>
  </si>
  <si>
    <t>DIP003</t>
  </si>
  <si>
    <t>DIPLOMATICO LEAL</t>
  </si>
  <si>
    <t>8 506000002225</t>
  </si>
  <si>
    <t>DIP001</t>
  </si>
  <si>
    <t>DIPLOMATICO NO2</t>
  </si>
  <si>
    <t>8 506000002232</t>
  </si>
  <si>
    <t>FON003</t>
  </si>
  <si>
    <t>FONSECA COSACOS</t>
  </si>
  <si>
    <t>0000 24493637</t>
  </si>
  <si>
    <t>FON002</t>
  </si>
  <si>
    <t xml:space="preserve"> FONSECA NO.1</t>
  </si>
  <si>
    <t>8 506000002263</t>
  </si>
  <si>
    <t>FON004</t>
  </si>
  <si>
    <t>FONSECA KDT CADETES</t>
  </si>
  <si>
    <t>8 506000002249</t>
  </si>
  <si>
    <t>FON001</t>
  </si>
  <si>
    <t>FONSECA DELICIAS</t>
  </si>
  <si>
    <t>12/12/25-2</t>
  </si>
  <si>
    <t>8 506000004458</t>
  </si>
  <si>
    <t>REY004</t>
  </si>
  <si>
    <t>EL REY  DE MUNDO Choix Supreme</t>
  </si>
  <si>
    <t>8 506000004465</t>
  </si>
  <si>
    <t>REY003</t>
  </si>
  <si>
    <t>EL REY MUNDO DEMI TASSE</t>
  </si>
  <si>
    <t>GUA001</t>
  </si>
  <si>
    <t>Guantanomara Cristales</t>
  </si>
  <si>
    <t>27/4/23-2</t>
  </si>
  <si>
    <t>0000 58963335</t>
  </si>
  <si>
    <t>HOY033</t>
  </si>
  <si>
    <t>HOYO DE MONTERREY Epicure NO.3</t>
  </si>
  <si>
    <t>0000 57791938</t>
  </si>
  <si>
    <t>HOY333</t>
  </si>
  <si>
    <t>0000 62001973</t>
  </si>
  <si>
    <t>HOY010</t>
  </si>
  <si>
    <t>HOYO DE MONTERREY Epicure Especial</t>
  </si>
  <si>
    <t>HOY030</t>
  </si>
  <si>
    <t>HOYO DE MONTERREY Epicure Especial 10S</t>
  </si>
  <si>
    <t>0000 58905786</t>
  </si>
  <si>
    <t>HOY034</t>
  </si>
  <si>
    <t>HOYO DE MONTERREY DE RIO SECO</t>
  </si>
  <si>
    <t>0000 51029862</t>
  </si>
  <si>
    <t>HOY039</t>
  </si>
  <si>
    <t>0000 58371620</t>
  </si>
  <si>
    <t>HOY007</t>
  </si>
  <si>
    <t>HOYO DE MONTERREY DU MAIRE</t>
  </si>
  <si>
    <t>0000 57704681</t>
  </si>
  <si>
    <t>HOY026</t>
  </si>
  <si>
    <t>HOYO DE MONTERREY EPICURE DE LUXE</t>
  </si>
  <si>
    <t>0000 62250111</t>
  </si>
  <si>
    <t>HOY004</t>
  </si>
  <si>
    <t>HOYO DE MONTERREY CORONATIONS</t>
  </si>
  <si>
    <t>0000 53794746</t>
  </si>
  <si>
    <t>HOY001</t>
  </si>
  <si>
    <t>HOYO DE MONTERREY EPICURE NO.1</t>
  </si>
  <si>
    <t>0000 61686264</t>
  </si>
  <si>
    <t>HOY002</t>
  </si>
  <si>
    <t>HOYO DE MONTERREY EPICURE NOP.2</t>
  </si>
  <si>
    <t>15/8/25-2</t>
  </si>
  <si>
    <t>0000 59216406</t>
  </si>
  <si>
    <t>HOY031</t>
  </si>
  <si>
    <t>HOYO DE MONTERREY ELEGANTES</t>
  </si>
  <si>
    <t>20/11/25-2</t>
  </si>
  <si>
    <t>0000 54805693</t>
  </si>
  <si>
    <t>HOY037</t>
  </si>
  <si>
    <t>HOYO DE MONTERREY ESGOGIDOS</t>
  </si>
  <si>
    <t>0000 57533925</t>
  </si>
  <si>
    <t>HOY011</t>
  </si>
  <si>
    <t>HOYO DE MONTERREY Petit Robusto</t>
  </si>
  <si>
    <t>8 506000002447</t>
  </si>
  <si>
    <t>UPM010</t>
  </si>
  <si>
    <t>H. UPMANN MAJESTIC</t>
  </si>
  <si>
    <t>8 506000002300</t>
  </si>
  <si>
    <t>UPM002</t>
  </si>
  <si>
    <t>H. UPMANN CORONA MAJOR</t>
  </si>
  <si>
    <t>8 506000002348</t>
  </si>
  <si>
    <t>UPM034</t>
  </si>
  <si>
    <t>`</t>
  </si>
  <si>
    <t>H. UPMANN EPICURES</t>
  </si>
  <si>
    <t>8 506000002492</t>
  </si>
  <si>
    <t>UPM024</t>
  </si>
  <si>
    <t>H. UPMANN HALF CORONA</t>
  </si>
  <si>
    <t>21/7/25-2</t>
  </si>
  <si>
    <t>8 506000002485</t>
  </si>
  <si>
    <t>UPM006</t>
  </si>
  <si>
    <t>H. UPMANN NO.2</t>
  </si>
  <si>
    <t>8 506000005318</t>
  </si>
  <si>
    <t>UPM026</t>
  </si>
  <si>
    <t>H. UPMANN ROYAL ROBUSTO</t>
  </si>
  <si>
    <t>0000 56941150</t>
  </si>
  <si>
    <t>UPM030</t>
  </si>
  <si>
    <t>H. UPMANN CONNOSSIEUR B</t>
  </si>
  <si>
    <t>0000 61563864</t>
  </si>
  <si>
    <t>UPM015</t>
  </si>
  <si>
    <t>H. UPMANN CONNOISSEUR 1</t>
  </si>
  <si>
    <t>0000 58005650</t>
  </si>
  <si>
    <t>UPM035</t>
  </si>
  <si>
    <t>H. UPMANN CONNOISSEUR 2</t>
  </si>
  <si>
    <t>0000 58380482</t>
  </si>
  <si>
    <t>UPM014</t>
  </si>
  <si>
    <t>H. UPMANN MAG 46</t>
  </si>
  <si>
    <t>0000 61794450</t>
  </si>
  <si>
    <t>UPM032</t>
  </si>
  <si>
    <t>H. UPMANN MAG 54</t>
  </si>
  <si>
    <t>0000 63380962</t>
  </si>
  <si>
    <t>UPM027</t>
  </si>
  <si>
    <t>0000 58266938</t>
  </si>
  <si>
    <t>UPM020</t>
  </si>
  <si>
    <t>H. UPMANN MAG 50</t>
  </si>
  <si>
    <t>0000 62109246</t>
  </si>
  <si>
    <t>UPM028</t>
  </si>
  <si>
    <t>0000 54153506</t>
  </si>
  <si>
    <t>H UPPMAN 18 MAGNUM 52 HUMIDOR</t>
  </si>
  <si>
    <t>0000 60155970</t>
  </si>
  <si>
    <t>UPM037</t>
  </si>
  <si>
    <t>H. UPMANN CONNOISSEUR NO1</t>
  </si>
  <si>
    <t>JOS009</t>
  </si>
  <si>
    <t>JOSE L PIEDRA Petit Caballeros</t>
  </si>
  <si>
    <t>01/8/25-2</t>
  </si>
  <si>
    <t>8 506000002935</t>
  </si>
  <si>
    <t>JOS007</t>
  </si>
  <si>
    <t>JOSE L PIEDRA Petit Cazadores</t>
  </si>
  <si>
    <t>10/7/25-2</t>
  </si>
  <si>
    <t>17/7/25 -3</t>
  </si>
  <si>
    <t>0000 56598280</t>
  </si>
  <si>
    <t>JUAN150</t>
  </si>
  <si>
    <t>JUAN LOPEZ 150TH SELECION ESPECIAL</t>
  </si>
  <si>
    <t>MCO054</t>
  </si>
  <si>
    <t>MONTECRISTO Shorts Humidor 66 - Year of the Rabbit</t>
  </si>
  <si>
    <t>mont +3</t>
  </si>
  <si>
    <t>22/2/24-3</t>
  </si>
  <si>
    <t>27/8/24-2</t>
  </si>
  <si>
    <t>0000 62548581</t>
  </si>
  <si>
    <t>MCO005</t>
  </si>
  <si>
    <t>MONTECRISTO NO.5</t>
  </si>
  <si>
    <t>0000611361400</t>
  </si>
  <si>
    <t>MCO004</t>
  </si>
  <si>
    <t>MONTECRISTO NO.4</t>
  </si>
  <si>
    <t>30/5/24-5</t>
  </si>
  <si>
    <t>19/9/25-10</t>
  </si>
  <si>
    <t>MCO003</t>
  </si>
  <si>
    <t>MONTECRISTO NO.3</t>
  </si>
  <si>
    <t>MCO028</t>
  </si>
  <si>
    <t>MONTECRISTO NO.2 10's</t>
  </si>
  <si>
    <t>16/7/25 -4</t>
  </si>
  <si>
    <t>0000 56982839</t>
  </si>
  <si>
    <t>MCO0041</t>
  </si>
  <si>
    <t>MONTECRISTO Petite no.2</t>
  </si>
  <si>
    <t>MCO040</t>
  </si>
  <si>
    <t xml:space="preserve">MONTECRISTO DOUBLE EDMUNDO </t>
  </si>
  <si>
    <t>0000 63487615</t>
  </si>
  <si>
    <t>MCO053</t>
  </si>
  <si>
    <t>MONTECRISTO DOUBLE EDMUNDO 10</t>
  </si>
  <si>
    <t>0000 48408127</t>
  </si>
  <si>
    <t>MCO052</t>
  </si>
  <si>
    <t>PCC</t>
  </si>
  <si>
    <t>MONTECRISTO DOUBLE EDMUNDO - 2018 10'S</t>
  </si>
  <si>
    <t>30/9/21-1</t>
  </si>
  <si>
    <t>6/1/22-1</t>
  </si>
  <si>
    <t>0000 61359461</t>
  </si>
  <si>
    <t>MCO015</t>
  </si>
  <si>
    <t>MONTECRISTO EDMUNDO</t>
  </si>
  <si>
    <t>0000 59089762</t>
  </si>
  <si>
    <t>MCO019</t>
  </si>
  <si>
    <t>MONTECRISTO WIDE EDMUNDO</t>
  </si>
  <si>
    <t>MCO029</t>
  </si>
  <si>
    <t xml:space="preserve">MONTECRISTO WIDE EDMUNDO </t>
  </si>
  <si>
    <t>8 506000003260</t>
  </si>
  <si>
    <t>MCO034</t>
  </si>
  <si>
    <t>MONTECRISTO OPEN MASTER</t>
  </si>
  <si>
    <t>MCO055</t>
  </si>
  <si>
    <t>MONTECRISTO OPEN MASTER TUBO</t>
  </si>
  <si>
    <t>8 506000003086</t>
  </si>
  <si>
    <t>MCO056</t>
  </si>
  <si>
    <t>MONTECRISTO OPEN EAGLE TUBO</t>
  </si>
  <si>
    <t>13/11/25-2</t>
  </si>
  <si>
    <t>8 506000003116</t>
  </si>
  <si>
    <t>MCO035</t>
  </si>
  <si>
    <t>MONTECRISTO OPEN EAGLE</t>
  </si>
  <si>
    <t>MCO033</t>
  </si>
  <si>
    <t>new</t>
  </si>
  <si>
    <t>Montecristo Open Junior 20's</t>
  </si>
  <si>
    <t>mont20/9/24</t>
  </si>
  <si>
    <t>0000 56728567</t>
  </si>
  <si>
    <t>MCO044</t>
  </si>
  <si>
    <t>MONTECRISTO MEDIA CORONA</t>
  </si>
  <si>
    <t>0000 61346721</t>
  </si>
  <si>
    <t>MCO049</t>
  </si>
  <si>
    <t>MONTECRISTO MALTES</t>
  </si>
  <si>
    <t>MCO050</t>
  </si>
  <si>
    <t>MONTECRISTO DUMAS</t>
  </si>
  <si>
    <t>MCO048</t>
  </si>
  <si>
    <t>MONTECRISTO LEYENDA</t>
  </si>
  <si>
    <t>8 500001 542179</t>
  </si>
  <si>
    <t>MCO042</t>
  </si>
  <si>
    <t xml:space="preserve">Montecristo Puritos </t>
  </si>
  <si>
    <t>10/6/25-2</t>
  </si>
  <si>
    <t>0000 61991879</t>
  </si>
  <si>
    <t>MCO009</t>
  </si>
  <si>
    <t>MONTECRISTO Joyitas</t>
  </si>
  <si>
    <t>8 506000000047</t>
  </si>
  <si>
    <t>POR001</t>
  </si>
  <si>
    <t>Por Lorranga Picadores No.1</t>
  </si>
  <si>
    <t>PAR004</t>
  </si>
  <si>
    <t>Partagas D No 4</t>
  </si>
  <si>
    <t>2/9/35-1</t>
  </si>
  <si>
    <t>0000 62545701</t>
  </si>
  <si>
    <t>PAR028</t>
  </si>
  <si>
    <t>0000 60744218</t>
  </si>
  <si>
    <t>PAR025</t>
  </si>
  <si>
    <t>PARTAGAS SERIE P NO.2</t>
  </si>
  <si>
    <t>PAR026</t>
  </si>
  <si>
    <t>PARTAGAS SHORTS</t>
  </si>
  <si>
    <t>PAR038</t>
  </si>
  <si>
    <t>PARTAGAS SERIE D NO.6</t>
  </si>
  <si>
    <t>0000 60031512</t>
  </si>
  <si>
    <t>PAR046</t>
  </si>
  <si>
    <t xml:space="preserve">PARTAGAS ALLIADOS </t>
  </si>
  <si>
    <t>0000 63520409</t>
  </si>
  <si>
    <t>PAR050</t>
  </si>
  <si>
    <t>PARTAGAS MAESTRO</t>
  </si>
  <si>
    <t>8 506000003857</t>
  </si>
  <si>
    <t>PAR101</t>
  </si>
  <si>
    <t>Partagas Lusitanias 10's</t>
  </si>
  <si>
    <t>8 506000004199</t>
  </si>
  <si>
    <t>PUN009</t>
  </si>
  <si>
    <t>Punch Coronation AT</t>
  </si>
  <si>
    <t>0000 62901505</t>
  </si>
  <si>
    <t>PUN018</t>
  </si>
  <si>
    <t>Punch Short De Punch</t>
  </si>
  <si>
    <t>0000 57460267</t>
  </si>
  <si>
    <t>QUA004</t>
  </si>
  <si>
    <t>Quai D'Orsay No.50</t>
  </si>
  <si>
    <t>0000 62194932</t>
  </si>
  <si>
    <t>QUA044</t>
  </si>
  <si>
    <t>0000 59230497</t>
  </si>
  <si>
    <t>QUA006</t>
  </si>
  <si>
    <t>Quai D'Orsay No.54</t>
  </si>
  <si>
    <t>8 506000005370</t>
  </si>
  <si>
    <t>RAM001</t>
  </si>
  <si>
    <t>Ramon Allones Superiores</t>
  </si>
  <si>
    <t>8 506000004434</t>
  </si>
  <si>
    <t>RAM004</t>
  </si>
  <si>
    <t>Ramon Allones Gigantes</t>
  </si>
  <si>
    <t>8 506000010626</t>
  </si>
  <si>
    <t>RAM013</t>
  </si>
  <si>
    <t>Ramon Allones No. 3</t>
  </si>
  <si>
    <t>8 506000004779</t>
  </si>
  <si>
    <t>RYJ004</t>
  </si>
  <si>
    <t>RYJ No.1</t>
  </si>
  <si>
    <t>26/2/24+10</t>
  </si>
  <si>
    <t>14/3/24-4</t>
  </si>
  <si>
    <t>19/5/24-6</t>
  </si>
  <si>
    <t>5/12/24-3</t>
  </si>
  <si>
    <t>23/12/24-2</t>
  </si>
  <si>
    <t>17/1/25-4</t>
  </si>
  <si>
    <t>19/9/25-3</t>
  </si>
  <si>
    <t>8 506000004823</t>
  </si>
  <si>
    <t>RYJ012</t>
  </si>
  <si>
    <t>Ravi</t>
  </si>
  <si>
    <t>RYJ No.2</t>
  </si>
  <si>
    <t>1/9/25-4</t>
  </si>
  <si>
    <t>8 506000004892</t>
  </si>
  <si>
    <t>RYJ010</t>
  </si>
  <si>
    <t>RYJ No.3</t>
  </si>
  <si>
    <t>26/7/23-6</t>
  </si>
  <si>
    <t>4/10/23-4</t>
  </si>
  <si>
    <t>13/11/23-3</t>
  </si>
  <si>
    <t>4/12/23-3</t>
  </si>
  <si>
    <t>13/8/25-2</t>
  </si>
  <si>
    <t>8 506000004908</t>
  </si>
  <si>
    <t>RYJ No.3 10s</t>
  </si>
  <si>
    <t>20/10/25-3</t>
  </si>
  <si>
    <t>RYJ021</t>
  </si>
  <si>
    <t>RYJ Cazadores</t>
  </si>
  <si>
    <t>19/8/25-2</t>
  </si>
  <si>
    <t>0000 59967094</t>
  </si>
  <si>
    <t>RYJ041</t>
  </si>
  <si>
    <t xml:space="preserve">RYJ Cedros delux </t>
  </si>
  <si>
    <t>8 506000004519</t>
  </si>
  <si>
    <t>RYJ011</t>
  </si>
  <si>
    <t>RYJ Cedros delux No 2</t>
  </si>
  <si>
    <t>8 506000004526</t>
  </si>
  <si>
    <t>RYJ016</t>
  </si>
  <si>
    <t>RYJ Cedros delux No 3</t>
  </si>
  <si>
    <t>8 506000004489</t>
  </si>
  <si>
    <t>RYJ026</t>
  </si>
  <si>
    <t>RYJ Belvederes</t>
  </si>
  <si>
    <t>20/9/25-2</t>
  </si>
  <si>
    <t>RYJ034</t>
  </si>
  <si>
    <t>RYJ Puritos</t>
  </si>
  <si>
    <t>8 506000004977</t>
  </si>
  <si>
    <t>RYJ003</t>
  </si>
  <si>
    <t>RYJ Wide Churchills</t>
  </si>
  <si>
    <t>8 506000010725</t>
  </si>
  <si>
    <t>RYJ055</t>
  </si>
  <si>
    <t xml:space="preserve">RYJ Wide Churchills Humidor </t>
  </si>
  <si>
    <t>8 506000004984</t>
  </si>
  <si>
    <t>RYJ040</t>
  </si>
  <si>
    <t xml:space="preserve">RYJ Wide Churchills </t>
  </si>
  <si>
    <t>8 506000000764</t>
  </si>
  <si>
    <t>RYJ037</t>
  </si>
  <si>
    <t>RYJ Petit Churchills</t>
  </si>
  <si>
    <t>8 506000004946</t>
  </si>
  <si>
    <t>RYJ018</t>
  </si>
  <si>
    <t>RYJ Short Churchills 10s</t>
  </si>
  <si>
    <t>18/8/25-3</t>
  </si>
  <si>
    <t>8 506000004953</t>
  </si>
  <si>
    <t>RYJ029</t>
  </si>
  <si>
    <t>RYJ Short Churchills 24s</t>
  </si>
  <si>
    <t>8 506000004700</t>
  </si>
  <si>
    <t>RYJ023</t>
  </si>
  <si>
    <t>RYJ Petit Julietas</t>
  </si>
  <si>
    <t>8 506000006919</t>
  </si>
  <si>
    <t>RYJ045</t>
  </si>
  <si>
    <t>RYJ Petir Royals</t>
  </si>
  <si>
    <t>RYJ035</t>
  </si>
  <si>
    <t>RYJ Mille Fleurs</t>
  </si>
  <si>
    <t>8 506000004595</t>
  </si>
  <si>
    <t>RYJ007</t>
  </si>
  <si>
    <t>RYJ Belicosos</t>
  </si>
  <si>
    <t>0000 60867563</t>
  </si>
  <si>
    <t>RYJ051</t>
  </si>
  <si>
    <t>ROMEO HIDALGOS</t>
  </si>
  <si>
    <t>0000 52280580</t>
  </si>
  <si>
    <t>RYJ050</t>
  </si>
  <si>
    <t>ROMEO DIANAS</t>
  </si>
  <si>
    <t>0000 61687750</t>
  </si>
  <si>
    <t>RYJ053</t>
  </si>
  <si>
    <t>ROMEO NOBLES</t>
  </si>
  <si>
    <t>0000 58115618</t>
  </si>
  <si>
    <t>RYJ038</t>
  </si>
  <si>
    <t>ROMEO CUPIDOS</t>
  </si>
  <si>
    <t>8 506000004373</t>
  </si>
  <si>
    <t>RAF002</t>
  </si>
  <si>
    <t>Rafel Gozalez Perlas</t>
  </si>
  <si>
    <t>8 506000005035</t>
  </si>
  <si>
    <t>SCH002</t>
  </si>
  <si>
    <t>San Cristobal De La Habana El Pricipe</t>
  </si>
  <si>
    <t>0000 55714907</t>
  </si>
  <si>
    <t>SCH005</t>
  </si>
  <si>
    <t>San Cristobal De La Habana Prado</t>
  </si>
  <si>
    <t>SCH006</t>
  </si>
  <si>
    <t>San Cristobal Harimau Malaya</t>
  </si>
  <si>
    <t>8 506000005028</t>
  </si>
  <si>
    <t>SLR004</t>
  </si>
  <si>
    <t>ST Lous Rey Regios</t>
  </si>
  <si>
    <t>0000 55010999</t>
  </si>
  <si>
    <t>TRI009</t>
  </si>
  <si>
    <t>Trinidad Vigia</t>
  </si>
  <si>
    <t>0000 53986640</t>
  </si>
  <si>
    <t>TRI011</t>
  </si>
  <si>
    <t>Trinidad Coloniales</t>
  </si>
  <si>
    <t>0000 59146438</t>
  </si>
  <si>
    <t>TRI012</t>
  </si>
  <si>
    <t>Trinidad La Trova</t>
  </si>
  <si>
    <t>0000 60703287</t>
  </si>
  <si>
    <t>TRI014</t>
  </si>
  <si>
    <t>Trinidad Topes</t>
  </si>
  <si>
    <t>0000 52682654</t>
  </si>
  <si>
    <t>TRI015</t>
  </si>
  <si>
    <t>Trinidad Media Luna</t>
  </si>
  <si>
    <t>0000 62551125</t>
  </si>
  <si>
    <t>TRI016</t>
  </si>
  <si>
    <t>Trinidad Esmarelda</t>
  </si>
  <si>
    <t>TRO001</t>
  </si>
  <si>
    <t>Troya</t>
  </si>
  <si>
    <t>13/6/23-3</t>
  </si>
  <si>
    <t>8 506000005202</t>
  </si>
  <si>
    <t>VEG004</t>
  </si>
  <si>
    <t>Vegas Robaina</t>
  </si>
  <si>
    <t>8 506000005196</t>
  </si>
  <si>
    <t>VEG005</t>
  </si>
  <si>
    <t>Vegas Robaina Formosos</t>
  </si>
  <si>
    <t>0000 57746311</t>
  </si>
  <si>
    <t>ROS004</t>
  </si>
  <si>
    <t>Vagueros Mananitas</t>
  </si>
  <si>
    <t>ROS003</t>
  </si>
  <si>
    <t>Vagueros Entretiempos</t>
  </si>
  <si>
    <t>1966 10s</t>
  </si>
  <si>
    <t>not in RM Private</t>
  </si>
  <si>
    <t>Genious</t>
  </si>
  <si>
    <t>3/10/22-2</t>
  </si>
  <si>
    <t>Magicos</t>
  </si>
  <si>
    <t>RYJ Club</t>
  </si>
  <si>
    <t>20 per tin x 5 in bundle</t>
  </si>
  <si>
    <t>19/5/23-5</t>
  </si>
  <si>
    <t>13/3/23-7</t>
  </si>
  <si>
    <t>STOCKTAKE DONE 14/7/25</t>
  </si>
  <si>
    <t>84357200+38</t>
  </si>
  <si>
    <t>6/5/25-3sch</t>
  </si>
  <si>
    <t>9/8/25-4</t>
  </si>
  <si>
    <t>9/8/24-2</t>
  </si>
  <si>
    <t>24/9/24-5</t>
  </si>
  <si>
    <t>0 4427297986</t>
  </si>
  <si>
    <t>order emre</t>
  </si>
  <si>
    <t>84357200+60</t>
  </si>
  <si>
    <t>25/8/25-3</t>
  </si>
  <si>
    <t>13/9/25-2</t>
  </si>
  <si>
    <t>7/10/25-3</t>
  </si>
  <si>
    <t>21/7/25-3</t>
  </si>
  <si>
    <t>17/11/25-4</t>
  </si>
  <si>
    <t>1/12/25-3</t>
  </si>
  <si>
    <t>0 4037321868</t>
  </si>
  <si>
    <t>84357200+18</t>
  </si>
  <si>
    <t>5/12/25-4</t>
  </si>
  <si>
    <t>18/7/25-4</t>
  </si>
  <si>
    <t>6/2/24-2 corporate</t>
  </si>
  <si>
    <t>11/4/24-2</t>
  </si>
  <si>
    <t>4/7/24-2</t>
  </si>
  <si>
    <t>27/9/24-4</t>
  </si>
  <si>
    <t>22/10/24-5</t>
  </si>
  <si>
    <t>19/5/23-4</t>
  </si>
  <si>
    <t>18/1/24-3</t>
  </si>
  <si>
    <t>13/1/25-3</t>
  </si>
  <si>
    <t>0 3837327709</t>
  </si>
  <si>
    <t>15/1/25-2</t>
  </si>
  <si>
    <t>245261+1</t>
  </si>
  <si>
    <t>0 3635662333</t>
  </si>
  <si>
    <t>244268+1</t>
  </si>
  <si>
    <t>263404+1</t>
  </si>
  <si>
    <t>PAD069</t>
  </si>
  <si>
    <t>Padron 6000 natural</t>
  </si>
  <si>
    <t>PAD087</t>
  </si>
  <si>
    <t>Padron 7000 Natural</t>
  </si>
  <si>
    <t>265416+1</t>
  </si>
  <si>
    <t>78647300+5 19/5/23</t>
  </si>
  <si>
    <t>19/11/23-1</t>
  </si>
  <si>
    <t>1/8/22-12</t>
  </si>
  <si>
    <t>20/10/22-12</t>
  </si>
  <si>
    <t>20/10/22-6</t>
  </si>
  <si>
    <t>6/9/22-6</t>
  </si>
  <si>
    <t>13/10/22-1</t>
  </si>
  <si>
    <t>197/22-2</t>
  </si>
  <si>
    <t>21/7/22-2</t>
  </si>
  <si>
    <t>0 2806944621</t>
  </si>
  <si>
    <t>ORDER FROM EMRE</t>
  </si>
  <si>
    <t>38231+2</t>
  </si>
  <si>
    <t>17/11/23-2</t>
  </si>
  <si>
    <t>0 2817440295</t>
  </si>
  <si>
    <t>26/4/24-1</t>
  </si>
  <si>
    <t>14/3/35-2</t>
  </si>
  <si>
    <t>260213+2</t>
  </si>
  <si>
    <t>84357200+36</t>
  </si>
  <si>
    <t>24/10/25-4</t>
  </si>
  <si>
    <t>1/12/25-2</t>
  </si>
  <si>
    <t>12/12/25-3</t>
  </si>
  <si>
    <t>0 2407326885</t>
  </si>
  <si>
    <t>84357200+9</t>
  </si>
  <si>
    <t>16/7/24-2</t>
  </si>
  <si>
    <t>6/12/25-3</t>
  </si>
  <si>
    <t>0 2417241569</t>
  </si>
  <si>
    <t>84357200+24</t>
  </si>
  <si>
    <t>22/2/24-2</t>
  </si>
  <si>
    <t>22/3/24-2</t>
  </si>
  <si>
    <t>0 1836958644</t>
  </si>
  <si>
    <t>12/5/24-2</t>
  </si>
  <si>
    <t>0 1826698675</t>
  </si>
  <si>
    <t>PAD119</t>
  </si>
  <si>
    <t>38074+2</t>
  </si>
  <si>
    <t>16/2/23-1</t>
  </si>
  <si>
    <t>PAD028</t>
  </si>
  <si>
    <t>Padron 1964 Imperiales Natural</t>
  </si>
  <si>
    <t>80081400+2</t>
  </si>
  <si>
    <t>PAD027</t>
  </si>
  <si>
    <t>Padron 1964 Imperiales Maduro</t>
  </si>
  <si>
    <t>263648+1</t>
  </si>
  <si>
    <t>0 2317202385</t>
  </si>
  <si>
    <t>6/5/25-2sch</t>
  </si>
  <si>
    <t>0 2306941177</t>
  </si>
  <si>
    <t>38244+3</t>
  </si>
  <si>
    <t>20/6*/23-2</t>
  </si>
  <si>
    <t>16/10/23-1</t>
  </si>
  <si>
    <t>14/2/25-2</t>
  </si>
  <si>
    <t>6/5/25-1sch</t>
  </si>
  <si>
    <t>84357200+3</t>
  </si>
  <si>
    <t>0 2516697146</t>
  </si>
  <si>
    <t>Padron 1964 Monarco Maduro</t>
  </si>
  <si>
    <t>0 2506696985</t>
  </si>
  <si>
    <t>PAD034</t>
  </si>
  <si>
    <t>Padron 1964 Monarco Natural</t>
  </si>
  <si>
    <t>38194+1</t>
  </si>
  <si>
    <t>31/7/22-1</t>
  </si>
  <si>
    <t>23/9/22-1</t>
  </si>
  <si>
    <t>24/9/22-1</t>
  </si>
  <si>
    <t>0 2027082691</t>
  </si>
  <si>
    <t>32844+5</t>
  </si>
  <si>
    <t>PAD102</t>
  </si>
  <si>
    <t>Padron 1964 Anniversary No. 4 Maduro</t>
  </si>
  <si>
    <t>9/6/25-2</t>
  </si>
  <si>
    <t>0 2906775785</t>
  </si>
  <si>
    <t>84357200+5</t>
  </si>
  <si>
    <t>3/10/22-1</t>
  </si>
  <si>
    <t>0 2917063453</t>
  </si>
  <si>
    <t>84357200+10</t>
  </si>
  <si>
    <t>3/10/24-3</t>
  </si>
  <si>
    <t>11/1/25-2</t>
  </si>
  <si>
    <t>10/5/25-2</t>
  </si>
  <si>
    <t>0 1217240096</t>
  </si>
  <si>
    <t>PAD041</t>
  </si>
  <si>
    <t>Padron 1926 No.1 Maduro</t>
  </si>
  <si>
    <t>29/4/24-2</t>
  </si>
  <si>
    <t>0 1207240254</t>
  </si>
  <si>
    <t>PAD045</t>
  </si>
  <si>
    <t>Padron 1926 No.1 Natural</t>
  </si>
  <si>
    <t>0 1406420356</t>
  </si>
  <si>
    <t>38074+4</t>
  </si>
  <si>
    <t>13/10/22-2</t>
  </si>
  <si>
    <t>0 1296847418</t>
  </si>
  <si>
    <t>Padron 1926 No.2 Natural---</t>
  </si>
  <si>
    <t>38194+4</t>
  </si>
  <si>
    <t>0 1416622358</t>
  </si>
  <si>
    <t>84357200+4</t>
  </si>
  <si>
    <t>19/5/23-3</t>
  </si>
  <si>
    <t>13/8/24-4</t>
  </si>
  <si>
    <t>0 1356828115</t>
  </si>
  <si>
    <t>PAD0440</t>
  </si>
  <si>
    <t>Padron 1926 No. 2 Maduro---</t>
  </si>
  <si>
    <t>84357200+8</t>
  </si>
  <si>
    <t>0 1507324971</t>
  </si>
  <si>
    <t>10/12/22-1</t>
  </si>
  <si>
    <t>12/02/25-2</t>
  </si>
  <si>
    <t>1 1397105286</t>
  </si>
  <si>
    <t>PAD0470</t>
  </si>
  <si>
    <t>Padron 1926 No.6 Natural---</t>
  </si>
  <si>
    <t>24/439319+2</t>
  </si>
  <si>
    <t>0 1517449137</t>
  </si>
  <si>
    <t>39361+4</t>
  </si>
  <si>
    <t>30/12/14-1</t>
  </si>
  <si>
    <t>PAD0430</t>
  </si>
  <si>
    <t>Padron 1926 No.6 Maduro---</t>
  </si>
  <si>
    <t>80081400+3</t>
  </si>
  <si>
    <t>PAD042</t>
  </si>
  <si>
    <t>Padron 1926 No.9 Maduro</t>
  </si>
  <si>
    <t>80081400+5</t>
  </si>
  <si>
    <t>10/8/23-1</t>
  </si>
  <si>
    <t>0 1377249426</t>
  </si>
  <si>
    <t>PAD083</t>
  </si>
  <si>
    <t>Padron 1926 No.9 Maduro---</t>
  </si>
  <si>
    <t>0 1305634439</t>
  </si>
  <si>
    <t>0 1387302880</t>
  </si>
  <si>
    <t>PAD084</t>
  </si>
  <si>
    <t>Padron 1926 No.9 Natural---</t>
  </si>
  <si>
    <t>0 1615515780</t>
  </si>
  <si>
    <t>410/23-1</t>
  </si>
  <si>
    <t>25/7/24-2</t>
  </si>
  <si>
    <t>2/10/24-3</t>
  </si>
  <si>
    <t>1/1/25-3</t>
  </si>
  <si>
    <t>4/9/25-2</t>
  </si>
  <si>
    <t>0 1605670663</t>
  </si>
  <si>
    <t>0 1977157384</t>
  </si>
  <si>
    <t>PAD135</t>
  </si>
  <si>
    <t>Padron 1926 No.48 MADURO TAA</t>
  </si>
  <si>
    <t>14/3/24-3</t>
  </si>
  <si>
    <t>5/9/24-1</t>
  </si>
  <si>
    <t>6/5/25-3</t>
  </si>
  <si>
    <t>0 1997203216</t>
  </si>
  <si>
    <t>PAD134</t>
  </si>
  <si>
    <t>Padron 1926 No.48 natural TAA</t>
  </si>
  <si>
    <t>0 5757632181</t>
  </si>
  <si>
    <t>Padron 1926 No.90 Natural</t>
  </si>
  <si>
    <t>PAD122</t>
  </si>
  <si>
    <t>Padron 1926 No.90 Maduro</t>
  </si>
  <si>
    <t>84357200+2</t>
  </si>
  <si>
    <t>6/11/22-2</t>
  </si>
  <si>
    <t>1/8/24-2</t>
  </si>
  <si>
    <t>PAD068</t>
  </si>
  <si>
    <t>Padron 1926 80th Natural</t>
  </si>
  <si>
    <t>12/5/23-5</t>
  </si>
  <si>
    <t>7/12/23-7</t>
  </si>
  <si>
    <t>22/4/1/24-1</t>
  </si>
  <si>
    <t>PAD065</t>
  </si>
  <si>
    <t>Padron 1926 80th Maduro</t>
  </si>
  <si>
    <t>1/2/25-2</t>
  </si>
  <si>
    <t>0 1127310238</t>
  </si>
  <si>
    <t>PAD056</t>
  </si>
  <si>
    <t>Padron 1926 40th Natural</t>
  </si>
  <si>
    <t>15/8/24-3</t>
  </si>
  <si>
    <t>20/11/24-3</t>
  </si>
  <si>
    <t>28/1/25-5</t>
  </si>
  <si>
    <t>8/12/25-3</t>
  </si>
  <si>
    <t>0 1137040813</t>
  </si>
  <si>
    <t>PAD054</t>
  </si>
  <si>
    <t>Padron 1926 40th Maduro</t>
  </si>
  <si>
    <t>84357200+13</t>
  </si>
  <si>
    <t>4/12/23-2</t>
  </si>
  <si>
    <t>5/9/24-2</t>
  </si>
  <si>
    <t>0 3577502289</t>
  </si>
  <si>
    <t>PAD138</t>
  </si>
  <si>
    <t>Padron Black 99 Maduro</t>
  </si>
  <si>
    <t>8 3587501820</t>
  </si>
  <si>
    <t>PAD139</t>
  </si>
  <si>
    <t>Padron Black 99 Natural</t>
  </si>
  <si>
    <t>14/7 84357200+3</t>
  </si>
  <si>
    <t>0 1227259206</t>
  </si>
  <si>
    <t>31/10/22-1</t>
  </si>
  <si>
    <t xml:space="preserve"> </t>
  </si>
  <si>
    <t>0 1477208764</t>
  </si>
  <si>
    <t>PAD086</t>
  </si>
  <si>
    <t>Padron FR No 45 Natural</t>
  </si>
  <si>
    <t>24/4 39319+3</t>
  </si>
  <si>
    <t>29/10/25-2</t>
  </si>
  <si>
    <t>0 1487359078</t>
  </si>
  <si>
    <t>28/7/23-1</t>
  </si>
  <si>
    <t>PAD095</t>
  </si>
  <si>
    <t>Padron FR No 46 Maduro</t>
  </si>
  <si>
    <t>PAD094</t>
  </si>
  <si>
    <t>0 5045998067</t>
  </si>
  <si>
    <t>13/1/23-1</t>
  </si>
  <si>
    <t>0 5066346781</t>
  </si>
  <si>
    <t>PAD096</t>
  </si>
  <si>
    <t>Padron FR No 85 Maduro</t>
  </si>
  <si>
    <t>0 1637626569</t>
  </si>
  <si>
    <t>PAD100</t>
  </si>
  <si>
    <t>Padron FR No 85 Natural</t>
  </si>
  <si>
    <t>PAD132</t>
  </si>
  <si>
    <t>Padron FR No 95 Maduro</t>
  </si>
  <si>
    <t>17/1/25-2</t>
  </si>
  <si>
    <t>0 1946197851</t>
  </si>
  <si>
    <t>PAD133</t>
  </si>
  <si>
    <t>Padron FR No 96 Maduro</t>
  </si>
  <si>
    <t>Padron FR Gift Pack natural</t>
  </si>
  <si>
    <t>0 5776005680</t>
  </si>
  <si>
    <t>PAD130</t>
  </si>
  <si>
    <t>Padron FR Gift Pack maduro</t>
  </si>
  <si>
    <t>80081400+1</t>
  </si>
  <si>
    <t>0 1846887940</t>
  </si>
  <si>
    <t>6/2/24-2</t>
  </si>
  <si>
    <t>17/7/24-2</t>
  </si>
  <si>
    <t>20/2/25-2</t>
  </si>
  <si>
    <t>0 1856137941</t>
  </si>
  <si>
    <t>80081400+12</t>
  </si>
  <si>
    <t>31/5/23-2</t>
  </si>
  <si>
    <t>0 1866331364</t>
  </si>
  <si>
    <t>80081400+11</t>
  </si>
  <si>
    <t>22/6/23-2</t>
  </si>
  <si>
    <t>10/2/23*1</t>
  </si>
  <si>
    <t>30/11/23-3</t>
  </si>
  <si>
    <t>0 1873679370</t>
  </si>
  <si>
    <t>38012+3</t>
  </si>
  <si>
    <t>3/11/23-1</t>
  </si>
  <si>
    <t>0 1895909899</t>
  </si>
  <si>
    <t>37241+2</t>
  </si>
  <si>
    <t>27/1/23-1</t>
  </si>
  <si>
    <t>0 1886445163</t>
  </si>
  <si>
    <t>0 1797204662</t>
  </si>
  <si>
    <t>14/7 84357200+10</t>
  </si>
  <si>
    <t>6/11/22-1</t>
  </si>
  <si>
    <t>18/9/24-3</t>
  </si>
  <si>
    <t xml:space="preserve">Padron Deluxe Sampler Maduro </t>
  </si>
  <si>
    <t>23/3/23-2</t>
  </si>
  <si>
    <t>0 2556822187</t>
  </si>
  <si>
    <t>0 2546549813</t>
  </si>
  <si>
    <t>25/12/22-2</t>
  </si>
  <si>
    <t>PADRNAT</t>
  </si>
  <si>
    <t>Padron 50th Refill Natural</t>
  </si>
  <si>
    <t>14/7 84357200+5</t>
  </si>
  <si>
    <t>PADRMAD</t>
  </si>
  <si>
    <t>Padron 50th Refill Maduro</t>
  </si>
  <si>
    <t>14/7 84357200+2</t>
  </si>
  <si>
    <t xml:space="preserve">PADRMIX </t>
  </si>
  <si>
    <t>Padron 50th Refill 50/50</t>
  </si>
  <si>
    <t>78647300+2 19/5/23</t>
  </si>
  <si>
    <t>16/4/24-2</t>
  </si>
  <si>
    <t>PAD136</t>
  </si>
  <si>
    <t>Padron 60th Natural</t>
  </si>
  <si>
    <t>8/9/25-.5</t>
  </si>
  <si>
    <t>PAD137</t>
  </si>
  <si>
    <t>Padron 60th Maduro</t>
  </si>
  <si>
    <t>0 1966361164</t>
  </si>
  <si>
    <t>PAD123</t>
  </si>
  <si>
    <t>Padron COTY Sampler</t>
  </si>
  <si>
    <t>8 4318210049 2</t>
  </si>
  <si>
    <t>af001</t>
  </si>
  <si>
    <t>A/Fuente Chateau Fuen Cuban Belicoso S/G</t>
  </si>
  <si>
    <t>5/6/25 275802+3</t>
  </si>
  <si>
    <t>25/5/25-1</t>
  </si>
  <si>
    <t>8 4318210058 4</t>
  </si>
  <si>
    <t>AF010</t>
  </si>
  <si>
    <t>A/Fuente Chateau Fuente 20's Maduro</t>
  </si>
  <si>
    <t>2/9/22-1</t>
  </si>
  <si>
    <t>8 4318210061 4</t>
  </si>
  <si>
    <t>af007</t>
  </si>
  <si>
    <t>A/Fuente Chateau Fuente 20's Natural</t>
  </si>
  <si>
    <t>2/4/23-2</t>
  </si>
  <si>
    <t>af020</t>
  </si>
  <si>
    <t>A/Fuente Chateau Fuente King T Rosado 24</t>
  </si>
  <si>
    <t>af019</t>
  </si>
  <si>
    <t>A/Fuente Chateau King T</t>
  </si>
  <si>
    <t>2022335+3</t>
  </si>
  <si>
    <t>af002</t>
  </si>
  <si>
    <t>A/Fuente Cubanitos 10's</t>
  </si>
  <si>
    <t>13/6/23-1</t>
  </si>
  <si>
    <t>8 4318210112 3</t>
  </si>
  <si>
    <t>af004</t>
  </si>
  <si>
    <t>A/Fuente Curly Head Deluxe Maduro</t>
  </si>
  <si>
    <t>2022335+5</t>
  </si>
  <si>
    <t>8 4318210114 7</t>
  </si>
  <si>
    <t>af003</t>
  </si>
  <si>
    <t>A/Fuente Curly Head Deluxe Natural</t>
  </si>
  <si>
    <t>12/4/24-1</t>
  </si>
  <si>
    <t>8 4318210141 3</t>
  </si>
  <si>
    <t>af027</t>
  </si>
  <si>
    <t>A/Fuente Dbl Chateau Fuente SG - Box 20</t>
  </si>
  <si>
    <t>277368+7</t>
  </si>
  <si>
    <t>2/12/25-3</t>
  </si>
  <si>
    <t>af006</t>
  </si>
  <si>
    <t>A/Fuente Double Chateau 20's N/T</t>
  </si>
  <si>
    <t>2022335+4</t>
  </si>
  <si>
    <t>af024</t>
  </si>
  <si>
    <t>A/Fuente Don Arturo Amor B/13s</t>
  </si>
  <si>
    <t>af023</t>
  </si>
  <si>
    <t>A/Fuente Don Arturo Destino Amistad B/13s</t>
  </si>
  <si>
    <t>af029 not online</t>
  </si>
  <si>
    <t>A/Fuente Don Arturo Destino Pasion B/13s</t>
  </si>
  <si>
    <t>af018</t>
  </si>
  <si>
    <t>A/Fuente Don C  Eye of the Shark Box20's</t>
  </si>
  <si>
    <t>2022335+2</t>
  </si>
  <si>
    <t>af014</t>
  </si>
  <si>
    <t>A/Fuente Don Carlos Belicosos 25's</t>
  </si>
  <si>
    <t>2022015+3</t>
  </si>
  <si>
    <t>af015</t>
  </si>
  <si>
    <t>A/Fuente Don Carlos no.2 25's Box</t>
  </si>
  <si>
    <t>af016</t>
  </si>
  <si>
    <t>A/Fuente Don Carlos no.3 25's Box</t>
  </si>
  <si>
    <t>2022280+2</t>
  </si>
  <si>
    <t>17/5/22-1</t>
  </si>
  <si>
    <t>af017</t>
  </si>
  <si>
    <t>A/Fuente Don Carlos no.4 Box 25's</t>
  </si>
  <si>
    <t>15/1/23-1</t>
  </si>
  <si>
    <t>af005</t>
  </si>
  <si>
    <t>A/Fuente Exquisitos Maduro</t>
  </si>
  <si>
    <t>285440+1</t>
  </si>
  <si>
    <t>30/4/23-1</t>
  </si>
  <si>
    <t>af025</t>
  </si>
  <si>
    <t>A/Fuente Exquisitos Natural</t>
  </si>
  <si>
    <t>af036</t>
  </si>
  <si>
    <t>A/Fuente No.4</t>
  </si>
  <si>
    <t>8 4318210204 5</t>
  </si>
  <si>
    <t>AF040</t>
  </si>
  <si>
    <t>A/Fuente Petite Corona MADURO</t>
  </si>
  <si>
    <t>277325+3 19/9/25</t>
  </si>
  <si>
    <t>14/6/23-1</t>
  </si>
  <si>
    <t>21/11/24-2</t>
  </si>
  <si>
    <t>8 4318210206 9</t>
  </si>
  <si>
    <t>af035</t>
  </si>
  <si>
    <t>A/Fuente Petite Corona NATURAL</t>
  </si>
  <si>
    <t>10/9/25-2</t>
  </si>
  <si>
    <t>18/3/25-1</t>
  </si>
  <si>
    <t>8 4318210065 2</t>
  </si>
  <si>
    <t>af008</t>
  </si>
  <si>
    <t>A/Fuente Queen B 18's</t>
  </si>
  <si>
    <t>269594+2</t>
  </si>
  <si>
    <t>24/9/23+1</t>
  </si>
  <si>
    <t>AF039</t>
  </si>
  <si>
    <t>A/Fuente Holiday collection</t>
  </si>
  <si>
    <t>af012</t>
  </si>
  <si>
    <t>A/Fuente Magnum R Super 60  24's Rosado</t>
  </si>
  <si>
    <t>236953+1</t>
  </si>
  <si>
    <t>8 4318212326 2</t>
  </si>
  <si>
    <t>af021</t>
  </si>
  <si>
    <t>A/Fuente Magnum R Vitola 44 Rosado 44's</t>
  </si>
  <si>
    <t>af022</t>
  </si>
  <si>
    <t>A/Fuente Magnum R Vitola 56 Rosado 25's</t>
  </si>
  <si>
    <t>af011</t>
  </si>
  <si>
    <t>A/Fuente Magnum R Vitola 58 25's Rosado</t>
  </si>
  <si>
    <t>6/12/21-1</t>
  </si>
  <si>
    <t>af013</t>
  </si>
  <si>
    <t>A/Fuente SSS SharkNo 77 Extra Viego</t>
  </si>
  <si>
    <t>3/10/21+2</t>
  </si>
  <si>
    <t>af026</t>
  </si>
  <si>
    <t>A/Fuente Flor Fina 8-5-8 Claro 25's N/M</t>
  </si>
  <si>
    <t>266575+1</t>
  </si>
  <si>
    <t>10/10/22-1</t>
  </si>
  <si>
    <t>8 4318210008 9</t>
  </si>
  <si>
    <t>af031</t>
  </si>
  <si>
    <t>A/Fuente Flor Fina 8-5-8 Maduro 25's</t>
  </si>
  <si>
    <t>2022335+10</t>
  </si>
  <si>
    <t>3/10/21+3</t>
  </si>
  <si>
    <t>18/1/23-1</t>
  </si>
  <si>
    <t>af0037</t>
  </si>
  <si>
    <t>A/Fuente Flor Fina 8-5-8 Natural 10s</t>
  </si>
  <si>
    <t>2022280+10</t>
  </si>
  <si>
    <t>8 4318210011 9</t>
  </si>
  <si>
    <t>af009</t>
  </si>
  <si>
    <t>A/Fuente Flor Fina 8-5-8 Natural 25's</t>
  </si>
  <si>
    <t>2022280+20</t>
  </si>
  <si>
    <t>28/2/23-2</t>
  </si>
  <si>
    <t>xmas4</t>
  </si>
  <si>
    <t>8 4318210025 6</t>
  </si>
  <si>
    <t>AF038</t>
  </si>
  <si>
    <t>A/Fuente Flor Fina 8-5-8 Natural Sun Grown</t>
  </si>
  <si>
    <t>AF037</t>
  </si>
  <si>
    <t>35156+4</t>
  </si>
  <si>
    <t>8 4318212234 0</t>
  </si>
  <si>
    <t>hem001</t>
  </si>
  <si>
    <t>A/Fuente Hemingway Best Seller</t>
  </si>
  <si>
    <t>10/4/23-1</t>
  </si>
  <si>
    <t>hem008</t>
  </si>
  <si>
    <t>A/Fuente Hemingway Between The Lines 25s</t>
  </si>
  <si>
    <t>2022335+1</t>
  </si>
  <si>
    <t>hem009</t>
  </si>
  <si>
    <t>A/Fuente Hemingway Classic - 10s</t>
  </si>
  <si>
    <t>HEM011</t>
  </si>
  <si>
    <t>A/Fuente Hemingway Classic - 10s Sun Grown</t>
  </si>
  <si>
    <t>35156+2</t>
  </si>
  <si>
    <t>8 4318212241 8</t>
  </si>
  <si>
    <t>HEM014</t>
  </si>
  <si>
    <t>A/Fuente Hemingway Classic - 25s</t>
  </si>
  <si>
    <t>1/2/24-1</t>
  </si>
  <si>
    <t>18/3/24-1</t>
  </si>
  <si>
    <t>22/8/24-2</t>
  </si>
  <si>
    <t>17/12/24-2</t>
  </si>
  <si>
    <t>9/3/25-1</t>
  </si>
  <si>
    <t>8 4318212250 0</t>
  </si>
  <si>
    <t>HEM012</t>
  </si>
  <si>
    <t>A/Fuente Hemingway Masterpiece</t>
  </si>
  <si>
    <t>10/123-1</t>
  </si>
  <si>
    <t>8 4318212253 1</t>
  </si>
  <si>
    <t>hem003</t>
  </si>
  <si>
    <t>A/Fuente Hemingway Short Story 15's</t>
  </si>
  <si>
    <t>2022280+7</t>
  </si>
  <si>
    <t>8 4318212255 5</t>
  </si>
  <si>
    <t>hem006</t>
  </si>
  <si>
    <t>A/Fuente Hemingway Short Story 25's</t>
  </si>
  <si>
    <t>2/9/24-2</t>
  </si>
  <si>
    <t>hem010</t>
  </si>
  <si>
    <t>A/Fuente Hemingway Short Story MAD 25's</t>
  </si>
  <si>
    <t>hem002</t>
  </si>
  <si>
    <t>A/Fuente Hemingway Signature 10's</t>
  </si>
  <si>
    <t>24/3/21-1</t>
  </si>
  <si>
    <t>8 4318212267 8</t>
  </si>
  <si>
    <t>hem005</t>
  </si>
  <si>
    <t>A/Fuente Hemingway Signature 25's</t>
  </si>
  <si>
    <t>hem004</t>
  </si>
  <si>
    <t>A/Fuente Hemingway Untold Story 25s</t>
  </si>
  <si>
    <t>30/11/21-1</t>
  </si>
  <si>
    <t>17/1/23-2</t>
  </si>
  <si>
    <t>8 4318212277 7</t>
  </si>
  <si>
    <t>hem007</t>
  </si>
  <si>
    <t>A/Fuente Hemingway Work of Art 25's</t>
  </si>
  <si>
    <t>16/12/23-2</t>
  </si>
  <si>
    <t>15/1/24-2 nick</t>
  </si>
  <si>
    <t>16/4/24-1 nick</t>
  </si>
  <si>
    <t>29/4/24-1 nick</t>
  </si>
  <si>
    <t>5/8/24-2</t>
  </si>
  <si>
    <t>HEM013</t>
  </si>
  <si>
    <t>A/Fuente Hemingway Work of Art 25's MADURO</t>
  </si>
  <si>
    <t>6 4781890065 0</t>
  </si>
  <si>
    <t>gofa8011</t>
  </si>
  <si>
    <t>ANGELENOS 25 - DBL ROBUSTO</t>
  </si>
  <si>
    <t>gofang8077</t>
  </si>
  <si>
    <t>ANGELENOS 25 R GORDO 54</t>
  </si>
  <si>
    <t>gofa8055</t>
  </si>
  <si>
    <t>ANGELENOS ROBUSTO 25's</t>
  </si>
  <si>
    <t>6 4781890039 1</t>
  </si>
  <si>
    <t>AF033</t>
  </si>
  <si>
    <t>Don Carlo Ed Anniv. Double Robusto</t>
  </si>
  <si>
    <t>127684+2</t>
  </si>
  <si>
    <t>AF032</t>
  </si>
  <si>
    <t>Don Carlos  Ed. Anniv. Robusto Edicion de Anni.</t>
  </si>
  <si>
    <t>gof505</t>
  </si>
  <si>
    <t>Don Carlos Anni. Double Robusto Tubo</t>
  </si>
  <si>
    <t>25/8/21-1</t>
  </si>
  <si>
    <t>6 4781890040 7</t>
  </si>
  <si>
    <t>AF034</t>
  </si>
  <si>
    <t>Don Carlos Anni. Toro Edicion De Anni.</t>
  </si>
  <si>
    <t>FFOXLCA</t>
  </si>
  <si>
    <t>F/Fuente Lost City Assortment</t>
  </si>
  <si>
    <t>6 4781890043 8</t>
  </si>
  <si>
    <t>FFOXLCDR</t>
  </si>
  <si>
    <t xml:space="preserve">F/Fuente Lost City Double Robusto </t>
  </si>
  <si>
    <t>FFOXLCRT</t>
  </si>
  <si>
    <t xml:space="preserve">F/Fuente Lost City Double Robusto TUBO </t>
  </si>
  <si>
    <t>127684+4</t>
  </si>
  <si>
    <t>FFOXLCL</t>
  </si>
  <si>
    <t>F/Fuente Lost City Lancero</t>
  </si>
  <si>
    <t>25/06/24-1</t>
  </si>
  <si>
    <t>6 4781890045 2</t>
  </si>
  <si>
    <t>FFOXLCP</t>
  </si>
  <si>
    <t>F/Fuente Lost City Piramide</t>
  </si>
  <si>
    <t>6/2/24-1</t>
  </si>
  <si>
    <t>FFOXLCR</t>
  </si>
  <si>
    <t xml:space="preserve">F/Fuente Lost City Robusto </t>
  </si>
  <si>
    <t>127684+3</t>
  </si>
  <si>
    <t>5/7/22-1</t>
  </si>
  <si>
    <t>18/5/23-2</t>
  </si>
  <si>
    <t>FFOXLCT</t>
  </si>
  <si>
    <t xml:space="preserve">F/Fuente Lost City Toro </t>
  </si>
  <si>
    <t>4/5/22-1</t>
  </si>
  <si>
    <t>5/12/22-1</t>
  </si>
  <si>
    <t>8/7/24-2</t>
  </si>
  <si>
    <t>ffox011</t>
  </si>
  <si>
    <t>F/Fuente Opus X Angels Share Res Chateau - 32s</t>
  </si>
  <si>
    <t>2022280+1</t>
  </si>
  <si>
    <t>12/10/21-1</t>
  </si>
  <si>
    <t>ffox010</t>
  </si>
  <si>
    <t>F/Fuente Opus X Angels Share Robusto - 29s</t>
  </si>
  <si>
    <t>10/8/21-1</t>
  </si>
  <si>
    <t>30/11/21+3</t>
  </si>
  <si>
    <t>ffox014</t>
  </si>
  <si>
    <t>F/Fuente Opus X Love Affair - 18</t>
  </si>
  <si>
    <t>ffox013</t>
  </si>
  <si>
    <t>F/Fuente Opus X Magnum O - 36</t>
  </si>
  <si>
    <t>FFOX028</t>
  </si>
  <si>
    <t>F/Fuente Opus X Tin Res Chateau Duty Free Tin</t>
  </si>
  <si>
    <t>26/7/23-1</t>
  </si>
  <si>
    <t>ffox025</t>
  </si>
  <si>
    <t>F/Fuente OpusX  Perfection Duty Free Tin 3 BLACK</t>
  </si>
  <si>
    <t>7/5/23-1</t>
  </si>
  <si>
    <t>28/1/24-1</t>
  </si>
  <si>
    <t>FFOX017</t>
  </si>
  <si>
    <t>F/Fuente OpusX 2019- OPUS22- 22</t>
  </si>
  <si>
    <t>189863+1</t>
  </si>
  <si>
    <t>ffox023</t>
  </si>
  <si>
    <t>F/Fuente OpusX Angels share  res De Chateau Duty Free Tin 3 CHURCHILL</t>
  </si>
  <si>
    <t>5/5/23-10</t>
  </si>
  <si>
    <t>ffox024</t>
  </si>
  <si>
    <t>F/Fuente OpusX Angels share Perfection Duty Free Tin 3</t>
  </si>
  <si>
    <t>ffox022</t>
  </si>
  <si>
    <t>F/Fuente OpusX Angels share Robusto Duty Free Tin 3</t>
  </si>
  <si>
    <t>2022015+20</t>
  </si>
  <si>
    <t>6/8/22-3</t>
  </si>
  <si>
    <t>29/8/23-1</t>
  </si>
  <si>
    <t>ffox001</t>
  </si>
  <si>
    <t>F/Fuente OpusX Belicosos XXX</t>
  </si>
  <si>
    <t>5/10/21-1</t>
  </si>
  <si>
    <t>ffox015</t>
  </si>
  <si>
    <t>F/Fuente OpusX Believe 20thAnniv 20s</t>
  </si>
  <si>
    <t>ffox008</t>
  </si>
  <si>
    <t>F/Fuente OpusX Double Corona - 32s</t>
  </si>
  <si>
    <t>ffox020</t>
  </si>
  <si>
    <t>F/Fuente OpusX Father&amp;Son 20thAnni B20s</t>
  </si>
  <si>
    <t>ffox002</t>
  </si>
  <si>
    <t>F/Fuente OpusX Fuente Fuente</t>
  </si>
  <si>
    <t>2022015+1</t>
  </si>
  <si>
    <t>ffox016</t>
  </si>
  <si>
    <t>F/Fuente OpusX Gods Whisper 20th anni.</t>
  </si>
  <si>
    <t>27/9/21-1</t>
  </si>
  <si>
    <t>FFOX027</t>
  </si>
  <si>
    <t>F/Fuente OpusX Holiday Collection Sampler</t>
  </si>
  <si>
    <t>202235+1</t>
  </si>
  <si>
    <t>ffox003</t>
  </si>
  <si>
    <t>F/Fuente OpusX Perfecxion No.2</t>
  </si>
  <si>
    <t>ffox006</t>
  </si>
  <si>
    <t>F/Fuente OpusX Perfecxion No.5</t>
  </si>
  <si>
    <t>ffox007</t>
  </si>
  <si>
    <t>F/Fuente OpusX Petit Lanceros</t>
  </si>
  <si>
    <t>ffox012</t>
  </si>
  <si>
    <t>F/Fuente OpusX Power ofDream 20thAnni20s</t>
  </si>
  <si>
    <t>3/10/21+1</t>
  </si>
  <si>
    <t>ffox021</t>
  </si>
  <si>
    <t>F/Fuente OpusX Pussy Cat (41/4"x40) -39s</t>
  </si>
  <si>
    <t>ffox004</t>
  </si>
  <si>
    <t>F/Fuente OpusX Reserva D'Chateau</t>
  </si>
  <si>
    <t>11/5/22-1</t>
  </si>
  <si>
    <t>ffox005</t>
  </si>
  <si>
    <t>F/Fuente OpusX Robusto box of 29</t>
  </si>
  <si>
    <t>ffox009</t>
  </si>
  <si>
    <t>F/Fuente OpusX Robusto Duty Free Tin 3</t>
  </si>
  <si>
    <t>2022335+20</t>
  </si>
  <si>
    <t>FFOX026</t>
  </si>
  <si>
    <t>F/Fuente OpusX Super Belicoso</t>
  </si>
  <si>
    <t>FFOXSC</t>
  </si>
  <si>
    <t xml:space="preserve">F/Fuente Scorpio Maduro </t>
  </si>
  <si>
    <t>6 4781890185 5</t>
  </si>
  <si>
    <t>ffoxBBM</t>
  </si>
  <si>
    <t>FF BBMF Maduro Yellow/Blue Box</t>
  </si>
  <si>
    <t>189863+2</t>
  </si>
  <si>
    <t>13/3/23-2</t>
  </si>
  <si>
    <t>6 4781830232 4</t>
  </si>
  <si>
    <t>ffoxBB</t>
  </si>
  <si>
    <t>FF BBMF Natural</t>
  </si>
  <si>
    <t>127684+1</t>
  </si>
  <si>
    <t>ffoxPR</t>
  </si>
  <si>
    <t>FF Purple Rain</t>
  </si>
  <si>
    <t>7/11/22-1</t>
  </si>
  <si>
    <t>31/5/24-3</t>
  </si>
  <si>
    <t>6 4781890175 6</t>
  </si>
  <si>
    <t>ffoxRB</t>
  </si>
  <si>
    <t>FF Rare Black</t>
  </si>
  <si>
    <t>FFOXRBDC</t>
  </si>
  <si>
    <t>FF Rare Black Double Corona</t>
  </si>
  <si>
    <t>20/12/22-1</t>
  </si>
  <si>
    <t>6 4781890179 4</t>
  </si>
  <si>
    <t>OPUSB4</t>
  </si>
  <si>
    <t>Fuente Black OPUSX story Humidor 4 Cigars</t>
  </si>
  <si>
    <t>6 4781890182 4</t>
  </si>
  <si>
    <t>OPUSBLUE4</t>
  </si>
  <si>
    <t>Fuente BLUE OPUSX Story Hum &amp; 4Cigars</t>
  </si>
  <si>
    <t>OPUS6</t>
  </si>
  <si>
    <t>Fuente Fuente OPUSX 6 (1016 Gift box) November 2016</t>
  </si>
  <si>
    <t>yellow 1</t>
  </si>
  <si>
    <t>189863+8</t>
  </si>
  <si>
    <t>1/5/24-2 red blue</t>
  </si>
  <si>
    <t>24/5/24-1 macasar</t>
  </si>
  <si>
    <t>ffoxtb</t>
  </si>
  <si>
    <t xml:space="preserve">Fuente Fuente Tauros the Bull </t>
  </si>
  <si>
    <t>6 4781890190 9</t>
  </si>
  <si>
    <t>ffoxtbm</t>
  </si>
  <si>
    <t>Fuente Fuente Tauros the Bull Maduro 10</t>
  </si>
  <si>
    <t>6 4781890171 0</t>
  </si>
  <si>
    <t>OPUSM4</t>
  </si>
  <si>
    <t>Fuente Macassar OPUSX story Humidor 4 Cigars</t>
  </si>
  <si>
    <t>189863+3</t>
  </si>
  <si>
    <t>opusred4</t>
  </si>
  <si>
    <t>Fuente RED OPUSX Story Hum &amp; 4Cigars</t>
  </si>
  <si>
    <t>6 4781890181 7</t>
  </si>
  <si>
    <t>opusy4</t>
  </si>
  <si>
    <t>Fuente YELLOW OPUSX Story Hum&amp;4Cigars</t>
  </si>
  <si>
    <t>gofb202</t>
  </si>
  <si>
    <t>God of Fire 10 GOF SERIE B-GRAN TOR BLACK</t>
  </si>
  <si>
    <t>gof5006</t>
  </si>
  <si>
    <t>God Of Fire 10 ROBUSTO DC ANIVERSARIO</t>
  </si>
  <si>
    <t>6 4781890136 7</t>
  </si>
  <si>
    <t>gof1001t</t>
  </si>
  <si>
    <t>God of Fire 8 Tubo Carlito Double Robusto</t>
  </si>
  <si>
    <t>189863+5</t>
  </si>
  <si>
    <t>6 4781890130 5</t>
  </si>
  <si>
    <t>GOFA305</t>
  </si>
  <si>
    <t>God of Fire Aniversario 5 BLACK</t>
  </si>
  <si>
    <t>186863+10</t>
  </si>
  <si>
    <t>6 4781890131 2</t>
  </si>
  <si>
    <t>gofa301</t>
  </si>
  <si>
    <t>God Of Fire Aniversario 54 - 10 cigars</t>
  </si>
  <si>
    <t>6 47818901329</t>
  </si>
  <si>
    <t>GOFA302</t>
  </si>
  <si>
    <t>God of Fire Aniversario 56 - 10 cigars</t>
  </si>
  <si>
    <t>198863+2</t>
  </si>
  <si>
    <t>16/4/23-1</t>
  </si>
  <si>
    <t>gof1064</t>
  </si>
  <si>
    <t>God Of Fire Carlito Diademas56 10 Cigars RED</t>
  </si>
  <si>
    <t>gof1054</t>
  </si>
  <si>
    <t>God of fire Carlito Piramide Box 10's RED</t>
  </si>
  <si>
    <t>6 47818901114</t>
  </si>
  <si>
    <t>GOF5051</t>
  </si>
  <si>
    <t>God of Fire DC Anniversario Assortment</t>
  </si>
  <si>
    <t>127684+10</t>
  </si>
  <si>
    <t>GOF505</t>
  </si>
  <si>
    <t>God of Fire Don Carlos Aniverario 8</t>
  </si>
  <si>
    <t>CHECK SHOP</t>
  </si>
  <si>
    <t>gof1022</t>
  </si>
  <si>
    <t>God Of Fire Don Carlos Toro 10 Cigars</t>
  </si>
  <si>
    <t xml:space="preserve">GOF102T </t>
  </si>
  <si>
    <t>God of Fire Don Carlos TUBO  8 RED</t>
  </si>
  <si>
    <t>1/12/23-1</t>
  </si>
  <si>
    <t>25/10/24-</t>
  </si>
  <si>
    <t>6 4781890133 6</t>
  </si>
  <si>
    <t>GOFA303</t>
  </si>
  <si>
    <t>God of Fire LE Aniversario 60</t>
  </si>
  <si>
    <t>6 4781890098 8</t>
  </si>
  <si>
    <t>gof1071</t>
  </si>
  <si>
    <t>God Of Fire Natural (1071)  5 Cigars</t>
  </si>
  <si>
    <t>6 4781890106 0</t>
  </si>
  <si>
    <t>GOF1079</t>
  </si>
  <si>
    <t>God of Fire Serie B Assortment 5 BLACK</t>
  </si>
  <si>
    <t>127684+8</t>
  </si>
  <si>
    <t>18/12/22-4</t>
  </si>
  <si>
    <t>gofb204</t>
  </si>
  <si>
    <t>God of Fire SERIE B- D Robusto - Box 10</t>
  </si>
  <si>
    <t>GOFB24T</t>
  </si>
  <si>
    <t xml:space="preserve">God of Fire Serie B Double  Robusto 8 TUBO </t>
  </si>
  <si>
    <t>18863+5</t>
  </si>
  <si>
    <t>6 4781890135 0</t>
  </si>
  <si>
    <t>GOFB23T</t>
  </si>
  <si>
    <t>God of Fire Serie B Robusto 8 TUBO BLACK</t>
  </si>
  <si>
    <t>6 4781890139 8</t>
  </si>
  <si>
    <t>gofb205</t>
  </si>
  <si>
    <t>God Of Fire Serie B-Diademas - 10 Cigars BLACK</t>
  </si>
  <si>
    <t>gofb201</t>
  </si>
  <si>
    <t>God Of Fire Serie B-R Gordo54- 10 Cigars BLACK</t>
  </si>
  <si>
    <t>gofb203</t>
  </si>
  <si>
    <t>God Of Fire Serie B-Robusto - 10 Cigars BLACK</t>
  </si>
  <si>
    <t>gof1008</t>
  </si>
  <si>
    <t>GOF CARLITO CHURCHILL - 10's RED</t>
  </si>
  <si>
    <t>GOFKKPGT</t>
  </si>
  <si>
    <t>KKP GRAN TORO 56</t>
  </si>
  <si>
    <t>6 4781890197 8</t>
  </si>
  <si>
    <t>GOFKKPP</t>
  </si>
  <si>
    <t>KKP PIRAMIDE 58</t>
  </si>
  <si>
    <t>EST50</t>
  </si>
  <si>
    <t>La Estancia 50</t>
  </si>
  <si>
    <t>2022/032+25</t>
  </si>
  <si>
    <t>20/10/22-2</t>
  </si>
  <si>
    <t>16/8/24-2</t>
  </si>
  <si>
    <t>18/8/24-1</t>
  </si>
  <si>
    <t>EST52</t>
  </si>
  <si>
    <t>La Estancia 52</t>
  </si>
  <si>
    <t>15/11/24-1</t>
  </si>
  <si>
    <t>EST56</t>
  </si>
  <si>
    <t xml:space="preserve">La Estancia 56 </t>
  </si>
  <si>
    <t>17/8/22-2</t>
  </si>
  <si>
    <t>EST60</t>
  </si>
  <si>
    <t>La Estancia 60</t>
  </si>
  <si>
    <t>2022/032+30</t>
  </si>
  <si>
    <t>20/12/22-2</t>
  </si>
  <si>
    <t>EST001</t>
  </si>
  <si>
    <t>La Estancia Short Robusto</t>
  </si>
  <si>
    <t>2022015+2</t>
  </si>
  <si>
    <t>MaM001</t>
  </si>
  <si>
    <t>Maestranza Marques</t>
  </si>
  <si>
    <t>30/9/22-1</t>
  </si>
  <si>
    <t>7 623500493115</t>
  </si>
  <si>
    <t>SEN007</t>
  </si>
  <si>
    <t>SENCILLO Black GIGANTE</t>
  </si>
  <si>
    <t>7 623500502824</t>
  </si>
  <si>
    <t>SEN006</t>
  </si>
  <si>
    <t>SENCILLO Black Pira Largo</t>
  </si>
  <si>
    <t>7 623500493108</t>
  </si>
  <si>
    <t>SEN005</t>
  </si>
  <si>
    <t>SENCILLO Black Robusto</t>
  </si>
  <si>
    <t>7 623500400403</t>
  </si>
  <si>
    <t>SEN001</t>
  </si>
  <si>
    <t>SENCILLO PLAT D. ROBUSTO</t>
  </si>
  <si>
    <t>gof9005</t>
  </si>
  <si>
    <t>SENCILLO PLAT GIGANTE</t>
  </si>
  <si>
    <t>7 623500385601</t>
  </si>
  <si>
    <t>SEN002</t>
  </si>
  <si>
    <t>SENCILLO PLAT PIRAMIDE</t>
  </si>
  <si>
    <t>Qty in Box</t>
  </si>
  <si>
    <t xml:space="preserve"> Box</t>
  </si>
  <si>
    <t>Warehouse</t>
  </si>
  <si>
    <t>KL-CAB-LUC-BLK</t>
  </si>
  <si>
    <t>Humidor</t>
  </si>
  <si>
    <t>KLARO</t>
  </si>
  <si>
    <t>KLARO - Luca Humidor Cabinet - Black Ash - 80-100 cigars. By Case Elegance</t>
  </si>
  <si>
    <t>KL-CAB-LUC-BR</t>
  </si>
  <si>
    <t>KLARO - Luca Humidor Cabinet - Walnut - 80-100 cigars. By Case Elegance</t>
  </si>
  <si>
    <t>KL-HUM-MAG-BRN</t>
  </si>
  <si>
    <t>KLARO - Mag Humidor - Walnut Finish - 20-30 cigars. By Case Elegance</t>
  </si>
  <si>
    <t>17/11/25-3</t>
  </si>
  <si>
    <t>KL-HUM-MAG-BLK</t>
  </si>
  <si>
    <t>KL-HUM-MAG-CAR</t>
  </si>
  <si>
    <t>KLARO - Mag Humidor - Carbon Fibre - 20-30 cigars. By Case Elegance</t>
  </si>
  <si>
    <t>KL-HUM-ACR-PRO</t>
  </si>
  <si>
    <t>KLARO - Felix Pro Tupperdor - Acrylic Humidor 50-60 Cigars</t>
  </si>
  <si>
    <t>KL-HUM-ACR-MINI</t>
  </si>
  <si>
    <t>KLARO - Felix Tupperdor - Acrylic Mini Humidor 10-30 Cigars</t>
  </si>
  <si>
    <t xml:space="preserve">KL-HUM-BLMNT                     </t>
  </si>
  <si>
    <t>KLARO - Belmont Glass Top Humidor 25 - 50 Cigars</t>
  </si>
  <si>
    <t>KL-HUM-MIL-1</t>
  </si>
  <si>
    <t>KLARO - MILL Glass Top Humidor 25 - 50 Cigars</t>
  </si>
  <si>
    <t>KL-HUM-MIL-BLK</t>
  </si>
  <si>
    <t>KLARO - Black Edition Military Humidor</t>
  </si>
  <si>
    <t>CE-HUM-CAR-1</t>
  </si>
  <si>
    <t>KLARO - Kingston Carbon Fiber Humidor 25 - 50 Cigars</t>
  </si>
  <si>
    <t>CE-HUM-DIG-CHERRY (CE-HUM-CHERRY in system)</t>
  </si>
  <si>
    <t>KLARO - Kingston Cherry Finish Humidor 25 - 50 Cigars</t>
  </si>
  <si>
    <t>27/8/25-2</t>
  </si>
  <si>
    <t>CE-HUM-GLASS-1</t>
  </si>
  <si>
    <t>KLARO - Renzo Glass Top Humidor</t>
  </si>
  <si>
    <t>CE-HUM-OCT-BLK</t>
  </si>
  <si>
    <t>KLARO - Octodor Glass Top Humidor - Black - 80-100 cigars. By Case Elegance</t>
  </si>
  <si>
    <t>TRAY</t>
  </si>
  <si>
    <t>Cedar Tray</t>
  </si>
  <si>
    <t>29/10/25-5</t>
  </si>
  <si>
    <t>CM-H505-BLACK</t>
  </si>
  <si>
    <t>CIGARISM</t>
  </si>
  <si>
    <t>CIGARISM BLACK PIANO FINISH SPANISH CEDAR CIGAR HUMIDOR 30 COUNT</t>
  </si>
  <si>
    <t>H-OCT50/RW</t>
  </si>
  <si>
    <t>Prometheus</t>
  </si>
  <si>
    <t>Prometheus Octagon Series 50ct Rosewood Humidor</t>
  </si>
  <si>
    <t>H-OCT50/WL</t>
  </si>
  <si>
    <t>Prometheus Octagon Series WALNUT 50 CNT/ HUMIDOR</t>
  </si>
  <si>
    <t>H-OCT50/MC</t>
  </si>
  <si>
    <t>Prometheus Octagon Series 50ct Macassar Humidor</t>
  </si>
  <si>
    <t>H-MIL50/RW</t>
  </si>
  <si>
    <t>Prometheus Milano Series 50ct Rosewood Humidor</t>
  </si>
  <si>
    <t>H-MIL50/WL</t>
  </si>
  <si>
    <t>Prometheus Milano Series WALNUT/50 CIGARS HUMIDOR</t>
  </si>
  <si>
    <t>CHLT/BLK</t>
  </si>
  <si>
    <t>Prestige</t>
  </si>
  <si>
    <t>Humidor Black 25-50 Cigar Capacity Humidor</t>
  </si>
  <si>
    <t>CHLT</t>
  </si>
  <si>
    <t>Humidor Cherry 25-50 Cigar Capacity Humidor</t>
  </si>
  <si>
    <t>CHLTG/BK</t>
  </si>
  <si>
    <t>Humidor Black Glass Top 25 Cigar Capacity with Humidifier</t>
  </si>
  <si>
    <t>CHATU/BK</t>
  </si>
  <si>
    <t>Chatu Black Travel Humidor 20 Cigar Capacity</t>
  </si>
  <si>
    <t>CHATUC</t>
  </si>
  <si>
    <t>Chatu Cherry Travel Humidor 20 Cigar Capacity</t>
  </si>
  <si>
    <t>21/11/25-3</t>
  </si>
  <si>
    <t>CHATUG</t>
  </si>
  <si>
    <t>Humidor Cherry Glass Top w/ Humidifier 20 Cigar Capacity</t>
  </si>
  <si>
    <t>26/5/25-2</t>
  </si>
  <si>
    <t>CHATUB</t>
  </si>
  <si>
    <t>Chatu Burl Travel Humidor 20 Cigar Capacity</t>
  </si>
  <si>
    <t>14/11/25-3</t>
  </si>
  <si>
    <t>CB-125B</t>
  </si>
  <si>
    <t>Sikarlan</t>
  </si>
  <si>
    <t>40 count Yellow COHBA high gloss humidor</t>
  </si>
  <si>
    <t>CB-203A</t>
  </si>
  <si>
    <t>Not showing in system</t>
  </si>
  <si>
    <t>CB-205</t>
  </si>
  <si>
    <t>HUMIDOR 40ct humidor, burl, veneer, Matt finish</t>
  </si>
  <si>
    <t>CB-309</t>
  </si>
  <si>
    <t>Travel Humidor</t>
  </si>
  <si>
    <t>Humidor Travel - 10 Cigars Rugged Structure Water &amp; Crush Resistant</t>
  </si>
  <si>
    <t>25/8/25-5</t>
  </si>
  <si>
    <t>CB-209</t>
  </si>
  <si>
    <t>Humidor Travel - 5 Cigars Rugged Structure Water &amp; Crush Resistant</t>
  </si>
  <si>
    <t>CB-120</t>
  </si>
  <si>
    <t>Humidor Travel, 4 cigar W/Cutter and Humistat, Black leather</t>
  </si>
  <si>
    <t>CB-101</t>
  </si>
  <si>
    <t>Acrylic Cigar Jar Humidor - 10 cigars</t>
  </si>
  <si>
    <t>CB-30C</t>
  </si>
  <si>
    <t>30-40 Count CHERRY Glasstop Humidor</t>
  </si>
  <si>
    <t>CB-125A</t>
  </si>
  <si>
    <t>40 count high gloss humidor</t>
  </si>
  <si>
    <t>CB-31</t>
  </si>
  <si>
    <t>30-40 Count Glasstop Black HUMIDOR, with tray</t>
  </si>
  <si>
    <t>CB-32</t>
  </si>
  <si>
    <t>40 count Dark Cherry wood Humidor</t>
  </si>
  <si>
    <t>HUM-75DC</t>
  </si>
  <si>
    <t>Milano Desktop 75 Count Humidor</t>
  </si>
  <si>
    <t>HAB-2</t>
  </si>
  <si>
    <t>30CT CHE HUMIDOR</t>
  </si>
  <si>
    <t>KGTN</t>
  </si>
  <si>
    <t>KENSINGTON 75 Ct. Cherry Ebony Lacquer Gift Set w/ External Digital Hygrometer</t>
  </si>
  <si>
    <t>NAPLI</t>
  </si>
  <si>
    <t>High Gloss Walnut Burl Finish Arched Top Humidor 75 cigar capacity</t>
  </si>
  <si>
    <t>DIPLMT</t>
  </si>
  <si>
    <t>Cherry Humidor and Accessories Gift Set 25-50 Cigar Capacity</t>
  </si>
  <si>
    <t>DVPT</t>
  </si>
  <si>
    <t>Ebony Gift Set 50 cigar capacity Humidor with Accessories</t>
  </si>
  <si>
    <t>DUKE</t>
  </si>
  <si>
    <t>Humidor Duke 25-50 Cigar Capacity Humidor with hygrometer and humidifier - imported</t>
  </si>
  <si>
    <t>DLNO</t>
  </si>
  <si>
    <t>DELANO - 100 Ct. BLACK HUMIDOR WITH UV Glass</t>
  </si>
  <si>
    <t>HAMTN/BLU</t>
  </si>
  <si>
    <t>HAMPTON 200 COUNT ROYAL BLUE HUMIDOR W/ DIAMOND PATTERN LEATHER TOP</t>
  </si>
  <si>
    <t>BLVUE</t>
  </si>
  <si>
    <t>Humidor 25ct. Bellevue Dark Mahogany Lacquered Humidor</t>
  </si>
  <si>
    <t>CESR</t>
  </si>
  <si>
    <t>Ceasar 50 Count Antique Humidor</t>
  </si>
  <si>
    <t>CRLTN</t>
  </si>
  <si>
    <t>Carlton 100 Count Polished Steel Accented Black Humidor w/ Silver Hardware</t>
  </si>
  <si>
    <t>CHRL</t>
  </si>
  <si>
    <t>Charleston 150 Count 7 Drawer Cherry Humidor</t>
  </si>
  <si>
    <t>ADSN</t>
  </si>
  <si>
    <t>GLASS DOME HUMIDOR 40 CIGAR CAPACITY</t>
  </si>
  <si>
    <t>ALG/BRN</t>
  </si>
  <si>
    <t>Brown Leather Gifts Set Humidor Capacity 20 Cigar</t>
  </si>
  <si>
    <t>ALG/BLK</t>
  </si>
  <si>
    <t>Black Leather Giftset Humidor Capacity 20 Cigar</t>
  </si>
  <si>
    <t>BRKLY</t>
  </si>
  <si>
    <t>Berkeley 100 Count Cherry Finish Humidor w/ Glass Top</t>
  </si>
  <si>
    <t>SK-1107</t>
  </si>
  <si>
    <t>50 count CHERRY Giftset Humidor</t>
  </si>
  <si>
    <t>SK-1096P</t>
  </si>
  <si>
    <t>150 Count Macassar wood humidor, removable tray.</t>
  </si>
  <si>
    <t>SK-1005B</t>
  </si>
  <si>
    <t>BURL 50CT Cigar HUMIDOR WITH GLASS window DOOR</t>
  </si>
  <si>
    <t>SK-1107A</t>
  </si>
  <si>
    <t>50 count BLACK Giftset Humidor</t>
  </si>
  <si>
    <t>ACR-SMOK</t>
  </si>
  <si>
    <t>Acrylic Humidor, Smoke colour, 20 cigars</t>
  </si>
  <si>
    <t>ACR-CLEAR</t>
  </si>
  <si>
    <t>Acrylic Humidor, Clear, 20 cigars</t>
  </si>
  <si>
    <t>SOVRN</t>
  </si>
  <si>
    <t>Two Tone Cherry &amp; Rosewood Set with Ashtray Humidor 50 cigar capacity</t>
  </si>
  <si>
    <t>STSON</t>
  </si>
  <si>
    <t>Humidor 150 Ct. High Gloss Humidor w/ Tray &amp; Tobacco Leaf Inlay</t>
  </si>
  <si>
    <t>VLNCA</t>
  </si>
  <si>
    <t>CHERRY GLASS TOP 120 CIGAR CAPACITY HUMIDOR</t>
  </si>
  <si>
    <t>VLNCA/D</t>
  </si>
  <si>
    <t>DIGITAL CHERRY GLASS TOP 120 CIGAR CAPACITY HUMIDOR.</t>
  </si>
  <si>
    <t>PRB</t>
  </si>
  <si>
    <t>HUMIDOR 130 Ct. Lacquer Bubinga Finish w/Tray &amp; Polished Hardware</t>
  </si>
  <si>
    <t>PTFNO</t>
  </si>
  <si>
    <t>Tinted Glasstop with External Digital Needle &amp; Numeric Display Humidor</t>
  </si>
  <si>
    <t>RGNT</t>
  </si>
  <si>
    <t>Dark Mahogany Glass Top Humidor w/ 3 Drawers 75 Cigar Capacity</t>
  </si>
  <si>
    <t>SK-4045E</t>
  </si>
  <si>
    <t>Travel Case</t>
  </si>
  <si>
    <t>4 CT TRAVEL SET Brown - Cedar &amp; Leather - with CUTTER and LIGHTER</t>
  </si>
  <si>
    <t>SK-4053</t>
  </si>
  <si>
    <t>4 CT TRAVEL SET Black - Cedar &amp; Leather - with CUTTER and LIGHTER</t>
  </si>
  <si>
    <t>SK-4030</t>
  </si>
  <si>
    <t>3 Cigar Leather case with CEDAR solid wood insert</t>
  </si>
  <si>
    <t>4/6/25-3</t>
  </si>
  <si>
    <t>3/11/25-2</t>
  </si>
  <si>
    <t>SK-4001</t>
  </si>
  <si>
    <t>3CT CROCODILE LEATHER CIGAR CASE WITH CEDAR LINER</t>
  </si>
  <si>
    <t>SK-4008</t>
  </si>
  <si>
    <t>CIGAR CASE 3CT black,double layer</t>
  </si>
  <si>
    <t>SK-4015</t>
  </si>
  <si>
    <t>3CT LEATHER CASE - CEDAR LINED, WITH METAL DECORATE</t>
  </si>
  <si>
    <t>CASE-500/TB</t>
  </si>
  <si>
    <t>PROMETHEUS Tejus Black 2 Cigar 60RG Case</t>
  </si>
  <si>
    <t>CASE-600/CF</t>
  </si>
  <si>
    <t>PROMETHEUS Carbon Fiber 3 Cigar 60RG Case</t>
  </si>
  <si>
    <t>CASE-600/TB</t>
  </si>
  <si>
    <t>PROMETHEUS Tejus Black 3 Cigar 60RG Case</t>
  </si>
  <si>
    <t>CASE-600/TJ</t>
  </si>
  <si>
    <t>PROMETHEUS Tejus Brown 3 Cigar 60RG Case</t>
  </si>
  <si>
    <t>LCO/BRN</t>
  </si>
  <si>
    <t>BROWN OSTRICH 2 CIGAR CASE</t>
  </si>
  <si>
    <t>LCO/BLK</t>
  </si>
  <si>
    <t>BLACK OSTRICH 2 CIGAR CASE</t>
  </si>
  <si>
    <t>LCFC/BRN</t>
  </si>
  <si>
    <t>3 CIGAR FOLDING LEATHER TRAVEL CASE W/ CUTTER (BROWN)</t>
  </si>
  <si>
    <t>LC3MC/BRN</t>
  </si>
  <si>
    <t>MAGNETIC LEATHER 3 FINGER CIGAR CASE WITH FLIPTOP ENCLOSURE AND CUTTER BROWN</t>
  </si>
  <si>
    <t>6/11/25-3</t>
  </si>
  <si>
    <t>LC3MC/BLK</t>
  </si>
  <si>
    <t>MAGNETIC LEATHER 3 FINGER CIGAR CASE WITH FLIPTOP ENCLOSURE AND CUTTER BLACK</t>
  </si>
  <si>
    <t>LCD/BLK</t>
  </si>
  <si>
    <t>DREXEL DIAMOND STITCH CASE - BLACK</t>
  </si>
  <si>
    <t>MNHTNXL/BLK</t>
  </si>
  <si>
    <t>Manhattan XL 10-20 Ct. Crocodile Motif Leather Travel Humidor (Black)</t>
  </si>
  <si>
    <t>MNHTNXL/BRN</t>
  </si>
  <si>
    <t>Manhattan XL 10-20 Ct. Crocodile Motif Leather Travel Humidor (Brown)</t>
  </si>
  <si>
    <t>MNHTN/BLK</t>
  </si>
  <si>
    <t>Black Ostrich Motif 4-8 ct travel cigar humidor with humidifier, cutter &amp; lighter.</t>
  </si>
  <si>
    <t>MNHTN/BRN</t>
  </si>
  <si>
    <t>BROWN Ostrich Motif 4-8 ct travel cigar humidor with humidifier, cutter &amp; lighter.</t>
  </si>
  <si>
    <t>14/7/25-2</t>
  </si>
  <si>
    <t>KL-CASE-8-BLK</t>
  </si>
  <si>
    <t>KLARO - Maxwell 8 Cigar Travel Case - Black. By Case Elegance</t>
  </si>
  <si>
    <t>KL-HUM-TR-BLK</t>
  </si>
  <si>
    <t>KLARO - Black Flint Travel Leather Cigar Case - 5 Cigars. By Case Elegance</t>
  </si>
  <si>
    <t>KL-HUM-TR-BR</t>
  </si>
  <si>
    <t>KLARO - Brown Flint Travel Leather Cigar Case - 5 Cigars. By Case Elegance</t>
  </si>
  <si>
    <t>KL-TRAV-3-BLK</t>
  </si>
  <si>
    <t>KLARO- Premium 3 Cigar Travel Case Black</t>
  </si>
  <si>
    <t>KL-TRAV-3-BRN</t>
  </si>
  <si>
    <t>KLARO- Premium 3 Cigar Travel Case Brown</t>
  </si>
  <si>
    <t>11/8/25-3</t>
  </si>
  <si>
    <t>CE-HUM-BR-CASE</t>
  </si>
  <si>
    <t>KLARO - 2 cigar brown travel case</t>
  </si>
  <si>
    <t>5/6/25-2</t>
  </si>
  <si>
    <t>16/9/25-3</t>
  </si>
  <si>
    <t>SK-4059</t>
  </si>
  <si>
    <t>Cohiba</t>
  </si>
  <si>
    <t>6 Cigar leather, Solid Spanish Cedar cigar case</t>
  </si>
  <si>
    <t>KL-ACC-GME-1</t>
  </si>
  <si>
    <t>Lighter &amp; Cutter</t>
  </si>
  <si>
    <t>KLARO - Cigar Accessory Kit Polished Gunmetal Finish - Cutter &amp; Torch Lighter</t>
  </si>
  <si>
    <t>L-AO4C-BLACK</t>
  </si>
  <si>
    <t>Lighter</t>
  </si>
  <si>
    <t>Black, Gold COHIBA Triple flame lighter</t>
  </si>
  <si>
    <t>L-AO4C-YELLOW</t>
  </si>
  <si>
    <t>Yellow, Silver COHIBA Triple flame lighter</t>
  </si>
  <si>
    <t>7/5/25-3</t>
  </si>
  <si>
    <t>DRWTL/RD</t>
  </si>
  <si>
    <t>Draw Tool</t>
  </si>
  <si>
    <t>SPARTAN 4-IN-1 DRAW TOOL (RED)</t>
  </si>
  <si>
    <t>DRWTL/BK</t>
  </si>
  <si>
    <t>SPARTAN 4-IN-1 DRAW TOOL (BLACK)</t>
  </si>
  <si>
    <t>CM-SO3-SILVER</t>
  </si>
  <si>
    <t>Cigar Stand</t>
  </si>
  <si>
    <t>CIGARISM STAINLESS STEEL CIGAR STAND REST and PUNCH</t>
  </si>
  <si>
    <t>5/12/25-6</t>
  </si>
  <si>
    <t>PHTNM</t>
  </si>
  <si>
    <t>Jetline</t>
  </si>
  <si>
    <t>Phantom Single Flame Torch Lighter</t>
  </si>
  <si>
    <t>CM-SO4-RED</t>
  </si>
  <si>
    <t>CIGARISM RED ALUMINIUM ALLOY CIGAR STAND REST PUNCH SET</t>
  </si>
  <si>
    <t>Cutter</t>
  </si>
  <si>
    <t>Quad Table Cigar Cutter Desktop Stainless Steel 4-in-1</t>
  </si>
  <si>
    <t>N/A</t>
  </si>
  <si>
    <t>Poppell Flint Wheel Lighters</t>
  </si>
  <si>
    <t>SAV17</t>
  </si>
  <si>
    <t>Pipe Filter</t>
  </si>
  <si>
    <t>Savinelli 6mm Balsa Pipe Filters</t>
  </si>
  <si>
    <t>BALSA</t>
  </si>
  <si>
    <t>9mm off brand Balsa Pipe Filters</t>
  </si>
  <si>
    <t>SK-5051</t>
  </si>
  <si>
    <t>Zip Bag</t>
  </si>
  <si>
    <t>HUMIDOR ZIP BAG RESEALABLE AND REUSABLE FOR CIGARS OR TOBACCO</t>
  </si>
  <si>
    <t>SK-5053</t>
  </si>
  <si>
    <t>8-12 Cigar humidity Zip Bag</t>
  </si>
  <si>
    <t>MLNO</t>
  </si>
  <si>
    <t>125ct. DARK MAHOGANY CABINET HUMIDOR</t>
  </si>
  <si>
    <t>H-RED200</t>
  </si>
  <si>
    <t>PROMETEUS RED SYCAMORE HUMIDOR 200ct</t>
  </si>
  <si>
    <t>H-CARBON/150</t>
  </si>
  <si>
    <t>PROMETHEUS Platinum Carbon Fiber 150 Cigar Humidor</t>
  </si>
  <si>
    <t>H-EBONY/200</t>
  </si>
  <si>
    <t>PROMETHEUS Platinum Macassar Ebony 200 Cigar Humidor</t>
  </si>
  <si>
    <t>H-MIL100/RW</t>
  </si>
  <si>
    <t>PROMETHEUS MILANO SERIES 100CT ROSEWOOD HUMIDOR</t>
  </si>
  <si>
    <t>H-MIL100/WL</t>
  </si>
  <si>
    <t>PROMETHEUS MILANO SERIES WALNUT/100 CIGARS HUMIDOR</t>
  </si>
  <si>
    <t>H-MIL100/MC</t>
  </si>
  <si>
    <t>Prometheus Milano Series 100ct Macassar Humidor</t>
  </si>
  <si>
    <t>H-OCT100/RW</t>
  </si>
  <si>
    <t>Prometheus Octagon Series 100ct Rosewood Humidor</t>
  </si>
  <si>
    <t>H-OCT100/WL</t>
  </si>
  <si>
    <t>Prometheus Octagon Series 100ct Walnut Humidor</t>
  </si>
  <si>
    <t>H-OCT100/MC</t>
  </si>
  <si>
    <t>Prometheus Octagon Series 100ct Macassar Humidor</t>
  </si>
  <si>
    <t>SK-1020</t>
  </si>
  <si>
    <t>150 Count Display Humidor, PU lacquer, MATT finish</t>
  </si>
  <si>
    <t>CIGMDR</t>
  </si>
  <si>
    <t>Cigar Holder</t>
  </si>
  <si>
    <t>CIGAR MINDER (ORANGE, YELLOW, GREEN, BLACK)</t>
  </si>
  <si>
    <t>1/12/25-6</t>
  </si>
  <si>
    <t>VSG-BLIZ</t>
  </si>
  <si>
    <t>Cut/lighter</t>
  </si>
  <si>
    <t>Vertigo</t>
  </si>
  <si>
    <t>VERTIGO - Blizzard Lighter &amp; Big Boy Cutter gift set</t>
  </si>
  <si>
    <t>VSG-CYC</t>
  </si>
  <si>
    <t>VERTIGO - Cyclone Lighter &amp; Big Boy Cutter gift set</t>
  </si>
  <si>
    <t>10/10/25-3</t>
  </si>
  <si>
    <t>VC500</t>
  </si>
  <si>
    <t>VERTIGO - Duet - Duet Cutter - "V" &amp; Guillotine cut</t>
  </si>
  <si>
    <t>VC600</t>
  </si>
  <si>
    <t>VERTIGA - Lil Bro - Closed Back Cutter - Cuts up to 60 Rg</t>
  </si>
  <si>
    <t>VSG-DAGBB</t>
  </si>
  <si>
    <t>VERTIGO - Dagger Lighter &amp;VC200 Big Boy Cutter in gift set - BLACK</t>
  </si>
  <si>
    <t>CUT402</t>
  </si>
  <si>
    <t>Lotus</t>
  </si>
  <si>
    <t>LOTUS - Deception 62 Rg Cigar Cutter - Chrome</t>
  </si>
  <si>
    <t>09/04/25-2</t>
  </si>
  <si>
    <t>CUT403CF</t>
  </si>
  <si>
    <t>LUTUS - Deception 62 Rg Cigar cutter - Carbon Fiber, Chrome</t>
  </si>
  <si>
    <t>CUT405TC</t>
  </si>
  <si>
    <t>LOTUS - Deception Techni-Colour 62 Rg Cigar Cutter - Grey Starburst</t>
  </si>
  <si>
    <t>CUT1002-F</t>
  </si>
  <si>
    <t>LOTUS - Meteor round 64 Rg Cutter in Gift Box - Fedora</t>
  </si>
  <si>
    <t>CUT1003-BLACK</t>
  </si>
  <si>
    <t>LOTUS - Meteror Round 64 RG Cigar Cutter - BLACK</t>
  </si>
  <si>
    <t>CUT1004-CHROME</t>
  </si>
  <si>
    <t>LOTUS - Meteror Round 64 RG Cigar Cutter - CHROME</t>
  </si>
  <si>
    <t>CUT1005-W</t>
  </si>
  <si>
    <t>LOTUS - Meteor round 64 Rg Cutter in Gift Box - Wood Grain</t>
  </si>
  <si>
    <t>CUT407TC</t>
  </si>
  <si>
    <t>LOTUS - Deception Techni-Colour 62 Rg Cigar Cutter - Blue Starburst</t>
  </si>
  <si>
    <t>CUT1103-V</t>
  </si>
  <si>
    <t>LOTUS - Viper V-Cut 64 Rg Cutter - Brushed Gun Metal &amp; Black</t>
  </si>
  <si>
    <t>CUT1201-GT</t>
  </si>
  <si>
    <t>LOTUS - GT Cutter - Metallic Black</t>
  </si>
  <si>
    <t>CUT1202-GT</t>
  </si>
  <si>
    <t>LOTUS - GT Cutter - Metallic Silver</t>
  </si>
  <si>
    <t>CUT1203-GT</t>
  </si>
  <si>
    <t>LOTUS - GT Cutter - Metallic Gunmetal</t>
  </si>
  <si>
    <t>CUT1204-GT</t>
  </si>
  <si>
    <t>LOTUS - GT Cutter - Metallic Red</t>
  </si>
  <si>
    <t>CONCORDE</t>
  </si>
  <si>
    <t>CONCORDE CIGARWORLD LIGHTERS</t>
  </si>
  <si>
    <t>CROWN</t>
  </si>
  <si>
    <t>VERTIGO - Crown Cigar lighter with pouch</t>
  </si>
  <si>
    <t>ENVOY</t>
  </si>
  <si>
    <t>VERTIGO - Envoy Cigar lighter with pouch</t>
  </si>
  <si>
    <t>ELOQUENCE</t>
  </si>
  <si>
    <t>VERTIGO - Eloquence Cigar Lighter with pouch</t>
  </si>
  <si>
    <t>ATLAS</t>
  </si>
  <si>
    <t>VERTIGO - Atlas Cigar Lighter with pouch</t>
  </si>
  <si>
    <t>CHURCHILL</t>
  </si>
  <si>
    <t>VERTIGO - Churchill cigar Lighter with pouch</t>
  </si>
  <si>
    <t>7300-GT</t>
  </si>
  <si>
    <t>LOTUS - GT Chroma twin pinpoint torch flame lighter - Black, Black Matte</t>
  </si>
  <si>
    <t>7310-GT</t>
  </si>
  <si>
    <t>LOTUS - GT Chroma twin pinpoint torch flame lighter - Silver, Black Matte</t>
  </si>
  <si>
    <t>7320-GT</t>
  </si>
  <si>
    <t>LOTUS - GT Chroma twin pinpoint torch flame lighter - Glossy Red, Black Matte</t>
  </si>
  <si>
    <t>7330-GT</t>
  </si>
  <si>
    <t>LOTUS - GT Chroma twin pinpoint torch flame lighter - Blue, Black Matte</t>
  </si>
  <si>
    <t>7340-GT</t>
  </si>
  <si>
    <t>LOTUS - GT Chroma twin pinpoint torch flame lighter - Green, Black Matte</t>
  </si>
  <si>
    <t>7500-MAR</t>
  </si>
  <si>
    <t>LOTUS - Mariner Twin Point Torch Lighter - Black</t>
  </si>
  <si>
    <t>7510-MAR</t>
  </si>
  <si>
    <t>LOTUS - Mariner Twin Point Torch Lighter - White</t>
  </si>
  <si>
    <t>7530-MAR</t>
  </si>
  <si>
    <t>LOTUS - Mariner Twin Point Torch Lighter - Blue</t>
  </si>
  <si>
    <t>LBLPL1000</t>
  </si>
  <si>
    <t>LOTUS - Condor - Black Label Pipe Lighter - Black Matte</t>
  </si>
  <si>
    <t>LBLPL1010</t>
  </si>
  <si>
    <t>LOTUS - Condor - Black Label Pipe Lighter - Black &amp; Chrome</t>
  </si>
  <si>
    <t>LBLPL1020</t>
  </si>
  <si>
    <t>LOTUS - Condor - Black Label Pipe Lighter - Black &amp; Copper</t>
  </si>
  <si>
    <t>LBLPL1030</t>
  </si>
  <si>
    <t>LOTUS - Condor - Black Label Pipe Lighter - Gunmetal</t>
  </si>
  <si>
    <t>XI-554BK</t>
  </si>
  <si>
    <t>Quality Importers</t>
  </si>
  <si>
    <t>Xikar Verano BK Flat Flame Lighter</t>
  </si>
  <si>
    <t>XI-574G2</t>
  </si>
  <si>
    <t>Xikar HP4 Lighter</t>
  </si>
  <si>
    <t>XI-553GMBK</t>
  </si>
  <si>
    <t>Xikar Tactical Triple - Gunmetal &amp; Black Lighter</t>
  </si>
  <si>
    <t>XI-551BK</t>
  </si>
  <si>
    <t>Xikar Tactical 1 -Black &amp; Black single Jet Lighter</t>
  </si>
  <si>
    <t>XI-573BK</t>
  </si>
  <si>
    <t>Xikar HP3 Lighter Matte Black</t>
  </si>
  <si>
    <t>CE-HUM-LIGHT</t>
  </si>
  <si>
    <t>KLARO - Double torch lighter</t>
  </si>
  <si>
    <t>???2</t>
  </si>
  <si>
    <t>10/9/25-5</t>
  </si>
  <si>
    <t>XI-200BK</t>
  </si>
  <si>
    <t>Xikar Xi2 Cutter Noir Black</t>
  </si>
  <si>
    <t>XI-200BL</t>
  </si>
  <si>
    <t>Xikar Xi2 Cutter Lapis Blue</t>
  </si>
  <si>
    <t>XI-200RD</t>
  </si>
  <si>
    <t>Xikar Xi2 Cutter Bloodstone Red</t>
  </si>
  <si>
    <t>XI-200WH</t>
  </si>
  <si>
    <t>Xikar Xi2 Cutter Pearl White</t>
  </si>
  <si>
    <t>XI-200CF</t>
  </si>
  <si>
    <t>Xikar Xi2 Teardrop Cigar Cutter Carbon Fiber Look</t>
  </si>
  <si>
    <t>18/7/25-3</t>
  </si>
  <si>
    <t>XI-403BKST</t>
  </si>
  <si>
    <t>Xikar XO Cutter Spalted Tamarind</t>
  </si>
  <si>
    <t>XI-302BZBK</t>
  </si>
  <si>
    <t>Xikar Cutter Vintage Bronze</t>
  </si>
  <si>
    <t>XI-300BKRW</t>
  </si>
  <si>
    <t>Xikar X13 Cutter Phantom Redwood</t>
  </si>
  <si>
    <t>P121</t>
  </si>
  <si>
    <t>Pipes</t>
  </si>
  <si>
    <t>German Basket Pipes</t>
  </si>
  <si>
    <t>23/4/25-12</t>
  </si>
  <si>
    <t>RPCUT</t>
  </si>
  <si>
    <t>ROCKY PARTEL DOUBLE BLADE CIGAR CUTTER BLACK 54 GAUGE</t>
  </si>
  <si>
    <t>JAK200</t>
  </si>
  <si>
    <t>JAKE WYATT</t>
  </si>
  <si>
    <t>JAKE WYATT - Lighter &amp; Cutter Set - Black</t>
  </si>
  <si>
    <t>JAK201</t>
  </si>
  <si>
    <t>JAKE WYATT - Lighter &amp; Cutter Set - w/ Design - Black</t>
  </si>
  <si>
    <t>CM-J23</t>
  </si>
  <si>
    <t>CIGARISM HIGH-END BRONZE INOX STAINLESS STEEL CARVED SHARP CIGAR CUTTER</t>
  </si>
  <si>
    <t>SD002</t>
  </si>
  <si>
    <t>SELECT DRAW - Golf Tee - Cigar Cutter</t>
  </si>
  <si>
    <t>SD001</t>
  </si>
  <si>
    <t>SELECT DRAW - Original - Cigar Cutter</t>
  </si>
  <si>
    <t>SD003</t>
  </si>
  <si>
    <t>SELECT DRAW - Traveler - Cigar Cutter</t>
  </si>
  <si>
    <t>16/7/25 -3</t>
  </si>
  <si>
    <t>CM-LK003-M390</t>
  </si>
  <si>
    <t>CIGARISM M390 STEEL BLADES RHOMBUS CIGAR CUTTER</t>
  </si>
  <si>
    <t>4/9/25-5</t>
  </si>
  <si>
    <t>CM-LK003-D</t>
  </si>
  <si>
    <t>CIGARISM DAMASCUS STEEL BLADES RHOMBUS CIGAR CUTTER</t>
  </si>
  <si>
    <t>GC701</t>
  </si>
  <si>
    <t>TITAN BOX-WING CIGAR CUTTER (GUN METAL)</t>
  </si>
  <si>
    <t>GC700</t>
  </si>
  <si>
    <t>TITAN BOX-WING CIGAR CUTTER (SILVER)</t>
  </si>
  <si>
    <t>GC502</t>
  </si>
  <si>
    <t>Gunmetal Guillotine Cutter 62 Gauge Gold</t>
  </si>
  <si>
    <t>GC301</t>
  </si>
  <si>
    <t>HEAVY BODIED CIGAR CUTTER GUN METAL</t>
  </si>
  <si>
    <t>29/7/25-4</t>
  </si>
  <si>
    <t>GC208</t>
  </si>
  <si>
    <t>2-Tone Gun High Polish Metal &amp; Silver or Full Silver in Gift Box (56 Rng)</t>
  </si>
  <si>
    <t>GC155</t>
  </si>
  <si>
    <t>Stainless Steel Twin Blade Precision Cigar Guillotine</t>
  </si>
  <si>
    <t>CC-T32</t>
  </si>
  <si>
    <t>Double Blade, Black &amp; Stainless Steel Cutter</t>
  </si>
  <si>
    <t>GC108</t>
  </si>
  <si>
    <t>Big Daddy 80 Ring Gauge Double Cigar Cutter</t>
  </si>
  <si>
    <t>GC150</t>
  </si>
  <si>
    <t>Double Blade Stainless Steel Cigar Cutter</t>
  </si>
  <si>
    <t>6/5/25-5</t>
  </si>
  <si>
    <t>SK-2007B</t>
  </si>
  <si>
    <t>Rounded Finger Stainless/Checker pattern D/blade cutter</t>
  </si>
  <si>
    <t>SK-2010C</t>
  </si>
  <si>
    <t>SOLID COPPER HANDLED CUTTER</t>
  </si>
  <si>
    <t>30/9/25-3</t>
  </si>
  <si>
    <t>GCTBL</t>
  </si>
  <si>
    <t>Walnut Desktop Guillotine Cutter with replacement Blade</t>
  </si>
  <si>
    <t>WLC31S</t>
  </si>
  <si>
    <t>Stainless Steel Triple Blade Scissor</t>
  </si>
  <si>
    <t>CS100</t>
  </si>
  <si>
    <t>Stainless Steel Cigar Scissors w/ Black PVC Leather Pouch</t>
  </si>
  <si>
    <t>CE-HUM-CUTTER</t>
  </si>
  <si>
    <t>KLARO - Chrome cigar cutter</t>
  </si>
  <si>
    <t>HA3-3000</t>
  </si>
  <si>
    <t>Hygrometer</t>
  </si>
  <si>
    <t>Cigar Oasis ULTRA 3.0</t>
  </si>
  <si>
    <t>HA1-1000</t>
  </si>
  <si>
    <t>Cigar Oasis Excel 3.0</t>
  </si>
  <si>
    <t>HA1-1550</t>
  </si>
  <si>
    <t>CIGAR OASIS EXCEL REFILL CARTRIDGE</t>
  </si>
  <si>
    <t>H800/S</t>
  </si>
  <si>
    <t>Humidifier</t>
  </si>
  <si>
    <t>Adjustable Vented Humidifier - Silver</t>
  </si>
  <si>
    <t>HA3-3500</t>
  </si>
  <si>
    <t>CIGAR OASIS ULTRA 3.0 REFILL CARTRIDGE</t>
  </si>
  <si>
    <t>H800/G</t>
  </si>
  <si>
    <t>Adjustable Vented Humidifier - Gold</t>
  </si>
  <si>
    <t>F250</t>
  </si>
  <si>
    <t>Large Rectangle Foam Humidifier</t>
  </si>
  <si>
    <t>DH-4332</t>
  </si>
  <si>
    <t>MINI THERMO HYGROMETER</t>
  </si>
  <si>
    <t>DH-9058A</t>
  </si>
  <si>
    <t>EASY-SET CALIBRATION THERMO-HYGROMETER easy-carry card style</t>
  </si>
  <si>
    <t>CC-Y80</t>
  </si>
  <si>
    <t>Glue</t>
  </si>
  <si>
    <t>Sikarlan Cigar Glue</t>
  </si>
  <si>
    <t>28/4/25-5</t>
  </si>
  <si>
    <t>PT-2517</t>
  </si>
  <si>
    <t>Case</t>
  </si>
  <si>
    <t>Cigar Tubes</t>
  </si>
  <si>
    <t>ACT500</t>
  </si>
  <si>
    <t>ACRYLIC CIGAR TUBE ROUNDED END - (USA)</t>
  </si>
  <si>
    <t>SH1GOLD</t>
  </si>
  <si>
    <t>Shotglass</t>
  </si>
  <si>
    <t>Shotglass Single Torch Jet Flame Cigar Lighter Gold</t>
  </si>
  <si>
    <t>26/6/25-3</t>
  </si>
  <si>
    <t>SH1GM</t>
  </si>
  <si>
    <t>Shotglass Single Torch Jet Flame Cigar Lighter Gun Metal</t>
  </si>
  <si>
    <t>SH2GM</t>
  </si>
  <si>
    <t>Shotglass double Torch Jet Flame Cigar Lighter w/Punch Gun Metal</t>
  </si>
  <si>
    <t>SH2RED</t>
  </si>
  <si>
    <t>Shotglass double Torch Jet Flame Cigar Lighter w/Punch Red</t>
  </si>
  <si>
    <t>SH2CHR</t>
  </si>
  <si>
    <t>Shotglass double Torch Jet Flame Cigar Lighter w/Punch Chrome</t>
  </si>
  <si>
    <t>ASH-FUENTE/R</t>
  </si>
  <si>
    <t>Ashtray</t>
  </si>
  <si>
    <t>ARTURO FUENTE 'Journey Through Time' Ashtray - Red</t>
  </si>
  <si>
    <t>8/10/25-2</t>
  </si>
  <si>
    <t>ASH-FUENTE/C</t>
  </si>
  <si>
    <t>ARTURO FUENTE 'Journey Through Time' Ashtray - Creme</t>
  </si>
  <si>
    <t>ASHCER/BK</t>
  </si>
  <si>
    <t>LARGE HIGH GLOSS BLACK CERAMIC ASHTRAY</t>
  </si>
  <si>
    <t>ASHCER/RD</t>
  </si>
  <si>
    <t>LARGE HIGH GLOSS RED CERAMIC ASHTRAY</t>
  </si>
  <si>
    <t>ASH-FUENTE/Y</t>
  </si>
  <si>
    <t>ARTURO FUENTE 'Journey Through Time' Ashtray - Yellow</t>
  </si>
  <si>
    <t>ASH-36-TRID</t>
  </si>
  <si>
    <t>Trinidad Ashtray</t>
  </si>
  <si>
    <t>ASH-36-SIG</t>
  </si>
  <si>
    <t>Siglo Ashtray</t>
  </si>
  <si>
    <t>7/7/25-2</t>
  </si>
  <si>
    <t>ASHLXGTN</t>
  </si>
  <si>
    <t>JAK202</t>
  </si>
  <si>
    <t>ASHRKFD</t>
  </si>
  <si>
    <t>ROPASH</t>
  </si>
  <si>
    <t>ASHSTLUC</t>
  </si>
  <si>
    <t>ASHBKC</t>
  </si>
  <si>
    <t>ASH-CLOUD/AG</t>
  </si>
  <si>
    <t>ASH-CLOUD/SB</t>
  </si>
  <si>
    <t>ASHLXGTON ($199)</t>
  </si>
  <si>
    <t>ASHLXGTON/S</t>
  </si>
  <si>
    <t>YH-005</t>
  </si>
  <si>
    <t>12/11/25-5</t>
  </si>
  <si>
    <t>ASH-16</t>
  </si>
  <si>
    <t>MUG-400</t>
  </si>
  <si>
    <t>CHUM-SS</t>
  </si>
  <si>
    <t>CHUM-SW</t>
  </si>
  <si>
    <t>ASH2</t>
  </si>
  <si>
    <t>ASH-20-TOBACCO</t>
  </si>
  <si>
    <t>1/5/25-2</t>
  </si>
  <si>
    <t>ASH-20</t>
  </si>
  <si>
    <t>24/7/25-3</t>
  </si>
  <si>
    <t>29/9/25-3</t>
  </si>
  <si>
    <t>ASH-BARCA</t>
  </si>
  <si>
    <t>ASH-LUNA</t>
  </si>
  <si>
    <t>ASH-TEARDROP</t>
  </si>
  <si>
    <t>ASH-ONDA</t>
  </si>
  <si>
    <t>ASH-ANGELENOS</t>
  </si>
  <si>
    <t>ASH-METAL/C1</t>
  </si>
  <si>
    <t>ASH-METAL/C3</t>
  </si>
  <si>
    <t>LASH15</t>
  </si>
  <si>
    <t>10/5/25-5</t>
  </si>
  <si>
    <t>12/8/25-10</t>
  </si>
  <si>
    <t>CE-HUM-ASH-BLK</t>
  </si>
  <si>
    <t>KLARO - Single Black and gold Inlay ceramic ashtray</t>
  </si>
  <si>
    <t>12/8/25-3</t>
  </si>
  <si>
    <t>9173 (CC-CTI)</t>
  </si>
  <si>
    <t>TUBE</t>
  </si>
  <si>
    <t>Cigar Caddy One-count, crush-proof cigar tube, 60RG</t>
  </si>
  <si>
    <t>CA-ST-OP-NKL</t>
  </si>
  <si>
    <t>XIKAR One Piece Stinky Ashtray, Black Nickel Plated</t>
  </si>
  <si>
    <t>CA-ST-OP-SS</t>
  </si>
  <si>
    <t>XIKAR One Piece Stinky Ashtray, Polished Stainless Steel</t>
  </si>
  <si>
    <t>XI-607BK</t>
  </si>
  <si>
    <t>XIKAR Ion Double Jet Lighter, Black</t>
  </si>
  <si>
    <t>XI-585ABBK</t>
  </si>
  <si>
    <t>XIKAR Resource ll Pipe Lighter, Amboina Burl</t>
  </si>
  <si>
    <t>PAL-CL-110</t>
  </si>
  <si>
    <t>Palio Vesuvio triple-jet, lighter 20-Count Display 5 Color Assortment&lt;br /&gt; DISPLAY</t>
  </si>
  <si>
    <t>5 x 20 packs</t>
  </si>
  <si>
    <t>PAL-CL-1000GY</t>
  </si>
  <si>
    <t>Palió Scorpius angled single-jet flame lighter, gray&amp;amp; gunmetal</t>
  </si>
  <si>
    <t>16/7/25 -2</t>
  </si>
  <si>
    <t>PAL-CL-1000RD</t>
  </si>
  <si>
    <t>Palió Scorpius angled single-jet flame lighter, red&amp;amp; gunmetal</t>
  </si>
  <si>
    <t>PAL-CL-1000BL</t>
  </si>
  <si>
    <t>Palió Scorpius angled single-jet flame lighter, blue&amp;amp; gunmetal</t>
  </si>
  <si>
    <t>PAL-CCL-100C</t>
  </si>
  <si>
    <t>Palió VCutter, 12-ct display, Assorted Colors (black,blue, gray, green, red) Display</t>
  </si>
  <si>
    <t>1 x 12 Pack</t>
  </si>
  <si>
    <t>PAL-CL-12PKBK</t>
  </si>
  <si>
    <t>Palio Treo triple-jet lighter, 12pk Display - Assorted Colors&lt;br /&gt; DISPLAY</t>
  </si>
  <si>
    <t>XI-160RD</t>
  </si>
  <si>
    <t>XIKAR Flip Dual Cutter, Red</t>
  </si>
  <si>
    <t>XI-160BZ</t>
  </si>
  <si>
    <t>XIKAR Flip Dual Cutter, Bronze</t>
  </si>
  <si>
    <t>XI-100BL</t>
  </si>
  <si>
    <t>XIKAR Xi1 Cutter, Blue</t>
  </si>
  <si>
    <t>XI-209BK2</t>
  </si>
  <si>
    <t>XIKAR M8 Metal Body Cutter, Black on Black</t>
  </si>
  <si>
    <t>XI-209GM</t>
  </si>
  <si>
    <t>XIKAR M8 Metal Body Cutter, G2</t>
  </si>
  <si>
    <t>XI-160BC</t>
  </si>
  <si>
    <t>XIKAR Flip Dual Cutter, Brushed Chrome</t>
  </si>
  <si>
    <t>9365C</t>
  </si>
  <si>
    <t>Big Easy Tobacco 54RG VCutter, 50 per display case</t>
  </si>
  <si>
    <t>1 x 50 pack</t>
  </si>
  <si>
    <t>XI-569RD</t>
  </si>
  <si>
    <t>XIKAR Volta Quad Tabletop Lighter Daytona Red</t>
  </si>
  <si>
    <t>XI-569SL</t>
  </si>
  <si>
    <t>XIKAR Volta Quad Tabletop Lighter Silver</t>
  </si>
  <si>
    <t>HUM-20T-BOV</t>
  </si>
  <si>
    <t>Florence - 20-30 Cigar Cherry, Humidor (4/24) w/ (2) xikar-boveda</t>
  </si>
  <si>
    <t>RPRD</t>
  </si>
  <si>
    <t>ASHTRAY</t>
  </si>
  <si>
    <t>Rocky patel Red</t>
  </si>
  <si>
    <t>RPND</t>
  </si>
  <si>
    <t>10010453D</t>
  </si>
  <si>
    <t>Pacific</t>
  </si>
  <si>
    <t>Siglo Cohiba large ash tray</t>
  </si>
  <si>
    <t>10010454D</t>
  </si>
  <si>
    <t>Siglo Cohiba large 2 logo ash tray</t>
  </si>
  <si>
    <t>Galerea-Ash</t>
  </si>
  <si>
    <t>vegas</t>
  </si>
  <si>
    <t>Galerea ashtray</t>
  </si>
  <si>
    <t>KL-TOR-GHIL-BLK</t>
  </si>
  <si>
    <t>KLARO - Overland Lighter Straight Cut set Black</t>
  </si>
  <si>
    <t>KL-TOR-GHIL-GRN</t>
  </si>
  <si>
    <t>KLARO - Overland Lighter Straight Cut set Green</t>
  </si>
  <si>
    <t>KL-TOR-GHIL-TAN</t>
  </si>
  <si>
    <t>KLARO - Overland Lighter Straight Cut set TAN</t>
  </si>
  <si>
    <t>KL-TOR-VCUT-BLK</t>
  </si>
  <si>
    <t>KLARO - Overland Lighter V cut Black</t>
  </si>
  <si>
    <t>KL-TOR-VCUT-GRN</t>
  </si>
  <si>
    <t>KLARO - Overland Lighter V cut Brown</t>
  </si>
  <si>
    <t>KL-TOR-VCUT-TAN</t>
  </si>
  <si>
    <t>KLARO - Overland Pro Lighter V cut Tan</t>
  </si>
  <si>
    <t>KL-TOR-LRGV-BLK</t>
  </si>
  <si>
    <t>KLARO - Overland Lighter V cut BLACK</t>
  </si>
  <si>
    <t>KL-TOR-LRGV-GRN</t>
  </si>
  <si>
    <t>KLARO - Overland Lighter V cut GREEN</t>
  </si>
  <si>
    <t>KL-TOR-LRGV-TAN</t>
  </si>
  <si>
    <t>KLARO - Overland Lighter V cut TAN</t>
  </si>
  <si>
    <t>BWB</t>
  </si>
  <si>
    <t xml:space="preserve">BAYSIDE </t>
  </si>
  <si>
    <t>Backwoods</t>
  </si>
  <si>
    <t>Backwoods Banana</t>
  </si>
  <si>
    <t>And 7 x 5 packs</t>
  </si>
  <si>
    <t>38244+20</t>
  </si>
  <si>
    <t>3/7/25 + 2.875</t>
  </si>
  <si>
    <t>BBR</t>
  </si>
  <si>
    <t>Backwoods BLACK RUSSIAN</t>
  </si>
  <si>
    <t>37111+12 17/9</t>
  </si>
  <si>
    <t>29/4/25-1</t>
  </si>
  <si>
    <t>11/7/24-2</t>
  </si>
  <si>
    <t>25/1/25-2</t>
  </si>
  <si>
    <t>BDS</t>
  </si>
  <si>
    <t>Backwoods Dark Stout</t>
  </si>
  <si>
    <t>And 6 x 5 packs</t>
  </si>
  <si>
    <t>3/7/25 + 0.75</t>
  </si>
  <si>
    <t>BH</t>
  </si>
  <si>
    <t xml:space="preserve">Backwoods Honey </t>
  </si>
  <si>
    <t>u</t>
  </si>
  <si>
    <t>And 2 x 5 packs</t>
  </si>
  <si>
    <t>38044+10</t>
  </si>
  <si>
    <t>10/9/24-2</t>
  </si>
  <si>
    <t>20/5/252-2</t>
  </si>
  <si>
    <t>3/7/25 + 1.25</t>
  </si>
  <si>
    <t>BHB</t>
  </si>
  <si>
    <t>Backwoods Honey Berry</t>
  </si>
  <si>
    <t>3/7/25 + 2</t>
  </si>
  <si>
    <t>BHBO</t>
  </si>
  <si>
    <t>Backwoods HONEY BOURBON</t>
  </si>
  <si>
    <t>BWRC</t>
  </si>
  <si>
    <t>Backwoods RUSSIAN CREAM</t>
  </si>
  <si>
    <t>38244+10</t>
  </si>
  <si>
    <t>11/02/25-6</t>
  </si>
  <si>
    <t>30/10/24-2</t>
  </si>
  <si>
    <t>BWSA</t>
  </si>
  <si>
    <t>Backwoods SWEET AROMATIC</t>
  </si>
  <si>
    <t>And 4 x 5 packs</t>
  </si>
  <si>
    <t>35198+20</t>
  </si>
  <si>
    <t>3/7/25 + 1.5</t>
  </si>
  <si>
    <t>CAO Bella Vannilla</t>
  </si>
  <si>
    <t>260213+1</t>
  </si>
  <si>
    <t>CAO Eileen's Dream</t>
  </si>
  <si>
    <t>bbbbbbbbbbbbbbbbb</t>
  </si>
  <si>
    <t>And 18 singles</t>
  </si>
  <si>
    <t>269426+1</t>
  </si>
  <si>
    <t>1/8/22-1</t>
  </si>
  <si>
    <t>3/7/25 + 0.72</t>
  </si>
  <si>
    <t>CAO026</t>
  </si>
  <si>
    <t>CAO Flavours II Humi Pack Petite Corona (4 x 40)</t>
  </si>
  <si>
    <t>10packs</t>
  </si>
  <si>
    <t xml:space="preserve">10 packs of 4 ea </t>
  </si>
  <si>
    <t>266539+1</t>
  </si>
  <si>
    <t>CAO Moontrace Petite Corona bourbon</t>
  </si>
  <si>
    <t>And 3 singles</t>
  </si>
  <si>
    <t>266049+1</t>
  </si>
  <si>
    <t>3/7/25 + 0.12</t>
  </si>
  <si>
    <t>CAO Gold Honey Petite Corona</t>
  </si>
  <si>
    <t>22/11/21-1</t>
  </si>
  <si>
    <t>17/10/22-1</t>
  </si>
  <si>
    <t>3/7/25 + 1.12</t>
  </si>
  <si>
    <t>ACI005</t>
  </si>
  <si>
    <t>Acid 20 - 20th Anniversary Robusto Box 24</t>
  </si>
  <si>
    <t>And 10 singles</t>
  </si>
  <si>
    <t>3/7/25 + 0.42</t>
  </si>
  <si>
    <t>ACI004</t>
  </si>
  <si>
    <t>Acid Blondie (4"x38) - box of 40</t>
  </si>
  <si>
    <t>255709+3</t>
  </si>
  <si>
    <t>18/2/23-1</t>
  </si>
  <si>
    <t>ACI002</t>
  </si>
  <si>
    <t xml:space="preserve">Acid Kuba Kuba </t>
  </si>
  <si>
    <t>254721+1 5/9</t>
  </si>
  <si>
    <t>ACI001</t>
  </si>
  <si>
    <t>Acid, Ronin Deluxe, (5 x 52), 24s</t>
  </si>
  <si>
    <t>And 20 singles</t>
  </si>
  <si>
    <t>28/12/21-1</t>
  </si>
  <si>
    <t>3/7/25 + 0.833</t>
  </si>
  <si>
    <t>JAVA005</t>
  </si>
  <si>
    <t>Java Latte Petit Corona - box 40</t>
  </si>
  <si>
    <t>242268+1</t>
  </si>
  <si>
    <t>25/7/22-1</t>
  </si>
  <si>
    <t>JAVA002</t>
  </si>
  <si>
    <t>JAVA Maduro Petit Corona - box 40</t>
  </si>
  <si>
    <t>JAVA006</t>
  </si>
  <si>
    <t>JAVA Mint Corona box 24</t>
  </si>
  <si>
    <t>And 8 singles</t>
  </si>
  <si>
    <t>242610+4</t>
  </si>
  <si>
    <t>19/5/25-3</t>
  </si>
  <si>
    <t>3/7/25 + 1.33</t>
  </si>
  <si>
    <t>JAVA001</t>
  </si>
  <si>
    <t>JAVA Mint Petit Corona - box 40</t>
  </si>
  <si>
    <t>240700+1</t>
  </si>
  <si>
    <t>JAVA003</t>
  </si>
  <si>
    <t>JAVA Red Corona - Box 24</t>
  </si>
  <si>
    <t>246199+1</t>
  </si>
  <si>
    <t>KFC003</t>
  </si>
  <si>
    <t>Kentucky Fire Cured SWEETS FAT MOLLY 10S</t>
  </si>
  <si>
    <t>And 2 singles</t>
  </si>
  <si>
    <t>262830+5</t>
  </si>
  <si>
    <t>3/7/25 + 1.2</t>
  </si>
  <si>
    <t>PDR001</t>
  </si>
  <si>
    <t>PDR</t>
  </si>
  <si>
    <t>PDR Fresh Pack Café Toro 6 x 52</t>
  </si>
  <si>
    <t xml:space="preserve"> 5 in ea Pack</t>
  </si>
  <si>
    <t>263944+1</t>
  </si>
  <si>
    <t>PDR002</t>
  </si>
  <si>
    <t>PDR Fresh Premium Selection sampler Toro 6 x 52</t>
  </si>
  <si>
    <t>253271+1</t>
  </si>
  <si>
    <t>23/6/22-5</t>
  </si>
  <si>
    <t>ROU001</t>
  </si>
  <si>
    <t>Rough Riders</t>
  </si>
  <si>
    <t>Rough Riders Sweerts Maduro Gordo</t>
  </si>
  <si>
    <t>????????</t>
  </si>
  <si>
    <t>269172+2</t>
  </si>
  <si>
    <t>3/7/25 + 0.52</t>
  </si>
  <si>
    <t>TCC001</t>
  </si>
  <si>
    <t>Tatiana</t>
  </si>
  <si>
    <t>Classic, Chocolate, BOX, (6 x 44), 25 per box</t>
  </si>
  <si>
    <t>5/2/24-2</t>
  </si>
  <si>
    <t>TCCN001</t>
  </si>
  <si>
    <t>Classic, Cognac, BOX, (6 x 44), 25 per box</t>
  </si>
  <si>
    <t>And 15 singles</t>
  </si>
  <si>
    <t>3/7/25 + 0.6</t>
  </si>
  <si>
    <t>TCH001</t>
  </si>
  <si>
    <t>Classic, Honey, BOX, (6 x 44), 25 per box</t>
  </si>
  <si>
    <t>267661+2</t>
  </si>
  <si>
    <t>TCR001</t>
  </si>
  <si>
    <t>Classic, Rum, BOX, (6 x 44), 25 per box</t>
  </si>
  <si>
    <t>banned</t>
  </si>
  <si>
    <t>And 13 singles</t>
  </si>
  <si>
    <t>52657+16</t>
  </si>
  <si>
    <t>3/7/25 + 52</t>
  </si>
  <si>
    <t>TCV001</t>
  </si>
  <si>
    <t>Classic, Vanilla, BOX, (6 x 44), 25 per box</t>
  </si>
  <si>
    <t>269426+3</t>
  </si>
  <si>
    <t>TDCH001</t>
  </si>
  <si>
    <t>Tatiana Dolce Cherry 50's</t>
  </si>
  <si>
    <t>And 31 singles</t>
  </si>
  <si>
    <t>88731+10</t>
  </si>
  <si>
    <t>3/7/25 + 0.62</t>
  </si>
  <si>
    <t>9/8/245-1</t>
  </si>
  <si>
    <t>TDC001</t>
  </si>
  <si>
    <t>Tatiana Dolce Chocolate 50's</t>
  </si>
  <si>
    <t>266391+1</t>
  </si>
  <si>
    <t>20/3/23-1</t>
  </si>
  <si>
    <t>TDH001</t>
  </si>
  <si>
    <t>Tatiana Dolce Honey 50's</t>
  </si>
  <si>
    <t>267481+1</t>
  </si>
  <si>
    <t>TDR001</t>
  </si>
  <si>
    <t>Tatiana Dolce Rum 50's</t>
  </si>
  <si>
    <t>And 6 singles</t>
  </si>
  <si>
    <t>TDT001</t>
  </si>
  <si>
    <t>Tatiana Dolce Tropical 50's</t>
  </si>
  <si>
    <t>88731+4</t>
  </si>
  <si>
    <t>7/11/23-1</t>
  </si>
  <si>
    <t>3/7/25 + 1.16</t>
  </si>
  <si>
    <t>TDV001</t>
  </si>
  <si>
    <t>Tatiana Dolce Vanilla 50's</t>
  </si>
  <si>
    <t>88731+30</t>
  </si>
  <si>
    <t>3/7/25 + 0.08</t>
  </si>
  <si>
    <t>CWC003</t>
  </si>
  <si>
    <t>Tatiana Mini Capucino bundles</t>
  </si>
  <si>
    <t>12/6/24-2</t>
  </si>
  <si>
    <t>20/11/24-4</t>
  </si>
  <si>
    <t>19/02/25-3</t>
  </si>
  <si>
    <t>CWCH001</t>
  </si>
  <si>
    <t>Tatiana Mini Cherry bundles</t>
  </si>
  <si>
    <t>268413+4</t>
  </si>
  <si>
    <t>20/11/24-2</t>
  </si>
  <si>
    <t>CWC001</t>
  </si>
  <si>
    <t>Tatiana Mini Chocolate</t>
  </si>
  <si>
    <t>19/3/24-25</t>
  </si>
  <si>
    <t>3/7/25 + 3</t>
  </si>
  <si>
    <t>TATNT</t>
  </si>
  <si>
    <t>Tatiana Mini Natural Sweet tins</t>
  </si>
  <si>
    <t>tins of 10</t>
  </si>
  <si>
    <t>275867+2</t>
  </si>
  <si>
    <t>28/4/22-10</t>
  </si>
  <si>
    <t>7/4/25-3</t>
  </si>
  <si>
    <t>CWR001</t>
  </si>
  <si>
    <t>Tatiana Mini Rum</t>
  </si>
  <si>
    <t>3/7/25 + 5</t>
  </si>
  <si>
    <t>CWV001</t>
  </si>
  <si>
    <t>Tatiana Mini Vanilla</t>
  </si>
  <si>
    <t>3/2/23-20</t>
  </si>
  <si>
    <t>20/7/23-20</t>
  </si>
  <si>
    <t>21/3/25-5</t>
  </si>
  <si>
    <t>TATV</t>
  </si>
  <si>
    <t>Tatiana Mini Vanilla tins</t>
  </si>
  <si>
    <t>TATHT</t>
  </si>
  <si>
    <t>Tatiana Mini Honey tins</t>
  </si>
  <si>
    <t>266049+4</t>
  </si>
  <si>
    <t>TAT012</t>
  </si>
  <si>
    <t>Tatiana Mocha Eden 25's</t>
  </si>
  <si>
    <t>88731+2</t>
  </si>
  <si>
    <t>TOS007</t>
  </si>
  <si>
    <t>Toscanello Anice</t>
  </si>
  <si>
    <t>261804+3</t>
  </si>
  <si>
    <t>TOS005</t>
  </si>
  <si>
    <t>Toscanello Caffe</t>
  </si>
  <si>
    <t>272347+10</t>
  </si>
  <si>
    <t>TOS006</t>
  </si>
  <si>
    <t>Toscanello Grappa</t>
  </si>
  <si>
    <t>10.07.25</t>
  </si>
  <si>
    <t xml:space="preserve">SHOP </t>
  </si>
  <si>
    <t>ASHTON ARTESIAN BLEND ASHART</t>
  </si>
  <si>
    <t>ASHTON GUILTY PLEASURE 50GR   ASHGP</t>
  </si>
  <si>
    <t>BALKAN SASIENI BALSAK</t>
  </si>
  <si>
    <t>BELLS THREE NUNS 3NUNS</t>
  </si>
  <si>
    <t>BORKUM RIFF BLACK CAVENDISH 42.5GR  BRCC</t>
  </si>
  <si>
    <t>BORKUM RIFF BOURBON WISKEY 42.5GR  BRWH42</t>
  </si>
  <si>
    <t>BORKUM RIFF CHERRY CAVENDISH 42.5GR  BRCL</t>
  </si>
  <si>
    <t>CAO BELLA VANILLA CAOBPT</t>
  </si>
  <si>
    <t>CAO CHERRY BOMB CAOPTC</t>
  </si>
  <si>
    <t>CAO EILLEN'S DREAM CAOPT</t>
  </si>
  <si>
    <t>CAPSTAN GOLD NAVY CUT FLAKE CAPSGFL SQUARE</t>
  </si>
  <si>
    <t>25/7/25-2</t>
  </si>
  <si>
    <t>CAPSTAN GOLD NAVY CUT READY RUBBED CAPSGNC ROUND</t>
  </si>
  <si>
    <t>Capstan Orig Navy Cut Flake CAPSOFL BLUE SQUARE</t>
  </si>
  <si>
    <t>CAPSTAN ORIGINAL NAVY CUT ready rubbed 50G CAPSONC ROUND</t>
  </si>
  <si>
    <t>CAPTAIN BLACK CLASSIC 42.5GR CBL1 original</t>
  </si>
  <si>
    <t>CAPTAIN BLACK DARK 42.5GR CBD</t>
  </si>
  <si>
    <t>CAPTAIN BLACK GOLD 42.5GR      CBG001</t>
  </si>
  <si>
    <t>CAPTAIN BLACK GOLD 200GR      CBG200</t>
  </si>
  <si>
    <t xml:space="preserve">CAPTAIN BLACK ROYAL 42.5GR CBR1 </t>
  </si>
  <si>
    <t>CARTER HALL CH001</t>
  </si>
  <si>
    <t>COBBLESTONE INDULGE CRÈME BRULEE 42.50GR COBCB</t>
  </si>
  <si>
    <t>COBBLESTONE INDULGE WALNUT MAPLE42.50GR COBWMP</t>
  </si>
  <si>
    <t>Cornell &amp; Diehl Chenet's CakeTin Pt 2oz  COR002</t>
  </si>
  <si>
    <t>Cornell &amp; Diehl Chenet's Nutty 2oz  COR001</t>
  </si>
  <si>
    <t>Cornell &amp; Diehl Pirate Kake 2oz COR004</t>
  </si>
  <si>
    <t>CULT BLOOD RED MOON CUL001</t>
  </si>
  <si>
    <t>DAVIDOFF DANISH MIXTURE DAV062</t>
  </si>
  <si>
    <t>DAVIDOFF ENGLISH MIXTURE DAV063</t>
  </si>
  <si>
    <t>DAVIDOFF FLAKE MEDALLIONS DAV069</t>
  </si>
  <si>
    <t>DAVIDOFF SCOTTISH MIXTURE DAV060</t>
  </si>
  <si>
    <t>**SOLD SOMEONE COMING IN ON THE 14th of JULY.  DO NOT SELL</t>
  </si>
  <si>
    <t>Erinmore Mixture FLAKE 50GR 22649</t>
  </si>
  <si>
    <t>Erinmore Mixture Tin 100g 22651</t>
  </si>
  <si>
    <t>Erinmore Mixture Tin 50g  22648 Trojan</t>
  </si>
  <si>
    <t>ESCUDO NAVY DE LUX A&amp;c</t>
  </si>
  <si>
    <t>FIVE BROTHERS 35.40GR FIVEB</t>
  </si>
  <si>
    <t>G.L. Pease Quiet Night QN</t>
  </si>
  <si>
    <t>G.L. Plase Windjammer QW</t>
  </si>
  <si>
    <t>HALF&amp;HALF BRIGHT &amp; BURLEY 42.5GR HAH001</t>
  </si>
  <si>
    <t>LANE 1Q LL1Q</t>
  </si>
  <si>
    <t>LIMERICK VIRGINIA FLAKE TIL001</t>
  </si>
  <si>
    <t>Mac Baren 7 Seas Black - 100gR mcb001</t>
  </si>
  <si>
    <t>Mac Baren 7 Seas gold - 100gr mcb007</t>
  </si>
  <si>
    <t>Mac Baren 7 Seas ROYAL 2 OZ 57gr NEW</t>
  </si>
  <si>
    <t>Mac Baren 7 Seas ROYAL 3.5 OZ 99 gr MAC7SR</t>
  </si>
  <si>
    <t>MAC BAREN DANISH MIXTURE 3.5OZ MACMM</t>
  </si>
  <si>
    <t>MAC BAREN HH OLD DARK FIRED  50GR  MAC012</t>
  </si>
  <si>
    <t>Mac Baren HH Old Dark Fired 100gr MACHH100</t>
  </si>
  <si>
    <t>Mac Baren Plumcake Navy macpc</t>
  </si>
  <si>
    <t>Mac Baren Scottish Mixture Pipe Tob 100g MCB010</t>
  </si>
  <si>
    <t>MAC BAREN VANILLA CREAM FLAKE 50GR  MCBVCF</t>
  </si>
  <si>
    <t>MacBaren 7 Seas Reg. Pipe Tobacco 100g MCB011</t>
  </si>
  <si>
    <t>MacBaren Black Ambrosia mcb006</t>
  </si>
  <si>
    <t>Orlik Golden Sliced 100g ORLIK100</t>
  </si>
  <si>
    <t>Orlik Golden Sliced 50g ORLIK</t>
  </si>
  <si>
    <t>PETERSON 3PS 50GR TOPPP</t>
  </si>
  <si>
    <t>PETERSON BALKAN MIXTURE  50GR TOPBM</t>
  </si>
  <si>
    <t>PETERSON CONNOISSEUR'S CHOICE 50GR TOPCC</t>
  </si>
  <si>
    <t>PETERSON DE LUX MIXTURE  50GR topdm</t>
  </si>
  <si>
    <t>PETERSON EARLY MORNING  50GR DML002</t>
  </si>
  <si>
    <t>PETERSON ELIZABETH MIXTURE 50GR TOPEM</t>
  </si>
  <si>
    <t>PETERSON HIDY PARK 50GR TOBHP</t>
  </si>
  <si>
    <t>PETERSON IRISH DEW TOPID (6.03 and 10.03)</t>
  </si>
  <si>
    <t>PETERSON IRISH FLAKE 50GR TOPIF</t>
  </si>
  <si>
    <t>PETERSON IRISH  Irish Whiskey 50g TOPIW</t>
  </si>
  <si>
    <t>PETERSON IRISH CAsk 50g TOPIC</t>
  </si>
  <si>
    <t>PETERSON NIGHT CUP TOPNC</t>
  </si>
  <si>
    <t>PETERSON OLD DUBLIN 50GR TOPOD</t>
  </si>
  <si>
    <t>PETERSON SHERLOCK HOLMES 50GR TOPSH</t>
  </si>
  <si>
    <t>PETERSON STANDARD MIXTURE  50GR DSM001</t>
  </si>
  <si>
    <t>PETERSON SUNSET BREEZE    50GR topsb</t>
  </si>
  <si>
    <t>PETERSON SWEET KILLARNEY 50GR TOPLE</t>
  </si>
  <si>
    <t>PETERSON THE ROYAL YACHT 50GR DRY001</t>
  </si>
  <si>
    <t>PETERSON UNIVERCITY FLAKE 50GR PUF1</t>
  </si>
  <si>
    <t>Presbyterian Pipe Tobacco 50g PRES</t>
  </si>
  <si>
    <t>Seattle Pipe Club Plum Pudding SR 8420</t>
  </si>
  <si>
    <t>SUPER VALUE AMARETTO SV002</t>
  </si>
  <si>
    <t>SUPER VALUE BATTERED RUM SV001</t>
  </si>
  <si>
    <t>SUPER VALUE BOURBON WISKEY SV003</t>
  </si>
  <si>
    <t>SUPER VALUE CHERRI Cavendish sv004</t>
  </si>
  <si>
    <t>SUPER VALUE CHOCOLATE SV005</t>
  </si>
  <si>
    <t>SUPER VALUE VANILLA SV006</t>
  </si>
  <si>
    <t>Sutliff Maple Street Pipe Tob 42.5g SUT001</t>
  </si>
  <si>
    <t>VILLIGER ENGLISH  42.5GR   VIL004</t>
  </si>
  <si>
    <t>VILLIGER JAMAICAN 42.5GR VIL005</t>
  </si>
  <si>
    <t>VILLIGER NEW WORLD EXPORT 42.5GR VIL006</t>
  </si>
  <si>
    <t>VILLIGER TROPICAL 42.5GR   VIL007</t>
  </si>
  <si>
    <t>WO LARSEN 1864 WOL001</t>
  </si>
  <si>
    <t>WO LARSEN SIGNATURE WOS1</t>
  </si>
  <si>
    <t>FUENTE</t>
  </si>
  <si>
    <t>Done</t>
  </si>
  <si>
    <t>MIAMI CIGAR CO</t>
  </si>
  <si>
    <t>PADRON CIGAR</t>
  </si>
  <si>
    <t>Joya</t>
  </si>
  <si>
    <t>Micallef</t>
  </si>
  <si>
    <t>Leaf by Oscar</t>
  </si>
  <si>
    <t>Cuban Special Hand Roll</t>
  </si>
  <si>
    <t>Smoking Pipes</t>
  </si>
  <si>
    <t>La flor</t>
  </si>
  <si>
    <t>Alliance Various</t>
  </si>
  <si>
    <t>PACIFIC CIGAR/COH/ CORP - CUBAN</t>
  </si>
  <si>
    <t>Bolivar</t>
  </si>
  <si>
    <t>Fonseca</t>
  </si>
  <si>
    <t>Hoyo</t>
  </si>
  <si>
    <t>Jose La Pedra</t>
  </si>
  <si>
    <t>La Gloria</t>
  </si>
  <si>
    <t>Montecristo</t>
  </si>
  <si>
    <t>Partagas</t>
  </si>
  <si>
    <t>Punch</t>
  </si>
  <si>
    <t>Quai</t>
  </si>
  <si>
    <t>Quaintero</t>
  </si>
  <si>
    <t>Rafael</t>
  </si>
  <si>
    <t>Ramon</t>
  </si>
  <si>
    <t>Romeo</t>
  </si>
  <si>
    <t>San Cristobal</t>
  </si>
  <si>
    <t>Trinidad</t>
  </si>
  <si>
    <t>H Upmann</t>
  </si>
  <si>
    <t>Vequeros</t>
  </si>
  <si>
    <t>STOCKTAKE DONE 18/5/23</t>
  </si>
  <si>
    <t>250429+1</t>
  </si>
  <si>
    <t>6/5/23-1</t>
  </si>
  <si>
    <t>13/3-23-5</t>
  </si>
  <si>
    <t>250602+1</t>
  </si>
  <si>
    <t>19/4/23-3</t>
  </si>
  <si>
    <t>5/5/23-2</t>
  </si>
  <si>
    <t>10/4/25-3</t>
  </si>
  <si>
    <t>248610+2</t>
  </si>
  <si>
    <t>27/1/23-2</t>
  </si>
  <si>
    <t>248511+1</t>
  </si>
  <si>
    <t>243139+1</t>
  </si>
  <si>
    <t>248610+1</t>
  </si>
  <si>
    <t>8/12/22-2</t>
  </si>
  <si>
    <t>35166+3</t>
  </si>
  <si>
    <t>35175+2</t>
  </si>
  <si>
    <t>15/4/23-1</t>
  </si>
  <si>
    <t>15/3/23-2</t>
  </si>
  <si>
    <t>12/4/23-1</t>
  </si>
  <si>
    <t>35135+5</t>
  </si>
  <si>
    <t>5/2/23-2</t>
  </si>
  <si>
    <t>26/4/23-1</t>
  </si>
  <si>
    <t>247259+2</t>
  </si>
  <si>
    <t>1/11/22-2</t>
  </si>
  <si>
    <t>Padron 1964 Monarco</t>
  </si>
  <si>
    <t>15/5/23-2</t>
  </si>
  <si>
    <t>35111+2</t>
  </si>
  <si>
    <t>35175+5</t>
  </si>
  <si>
    <t>35198+3</t>
  </si>
  <si>
    <t>35135+2</t>
  </si>
  <si>
    <t>35135+3</t>
  </si>
  <si>
    <t>35198+2</t>
  </si>
  <si>
    <t>35198+1</t>
  </si>
  <si>
    <t>Code</t>
  </si>
  <si>
    <t>Supplier</t>
  </si>
  <si>
    <t>Brand</t>
  </si>
  <si>
    <t>Name</t>
  </si>
  <si>
    <t>Qty in box/tin</t>
  </si>
  <si>
    <t>Comment</t>
  </si>
  <si>
    <t>Qty in stock</t>
  </si>
  <si>
    <t>AJ F New World Puro Es Toro Box of 20</t>
  </si>
  <si>
    <t>AJ Fernandez New World Oscuro Tin 6</t>
  </si>
  <si>
    <t>AJ F New World Con Rob Box of 20</t>
  </si>
  <si>
    <t>AJ Fernandez BLEND 15 SHORT ROB - 15s</t>
  </si>
  <si>
    <t>AJ Fernandez BLEND 15 ROBUSTO 15'S</t>
  </si>
  <si>
    <t>AJ Fernandez BLEND 15 TORO 15'S</t>
  </si>
  <si>
    <t>AJ Fernadez SAN LOTANO HABANO ROB - BX</t>
  </si>
  <si>
    <t>AJ F San Lotano Req Mad Rob Box of 20</t>
  </si>
  <si>
    <t>AJ F Dias De Gloria Robusto Box of 20</t>
  </si>
  <si>
    <t>AJ F Enclave Br Churchill Box of 20</t>
  </si>
  <si>
    <t>Aj F Enclave Toro Box of 20</t>
  </si>
  <si>
    <t>AJ F Enclave Robusto Box of 20</t>
  </si>
  <si>
    <t>AJ F Last Call Chiquitas Box of 25</t>
  </si>
  <si>
    <t>AJ Fernandez Last Call Mad Corticas-  25</t>
  </si>
  <si>
    <t>AJ F Bellas A Hyb Short Churchill 20s</t>
  </si>
  <si>
    <t xml:space="preserve">AJ F Bella Art Mad Robusto </t>
  </si>
  <si>
    <t>AJ Fernadez Toro Cigar Sampler 5s</t>
  </si>
  <si>
    <t>ALEC BRADLEY PROJECT 40 GORDO - 20</t>
  </si>
  <si>
    <t>Alec Bradley Prensado Churchill - Box 20</t>
  </si>
  <si>
    <t>ALEC B MAXX NANO PETIT CORONA  BOX 20</t>
  </si>
  <si>
    <t>ALEC B MAXX NANO FREAK BOX OF 20</t>
  </si>
  <si>
    <t>BOX SOLD</t>
  </si>
  <si>
    <t>Alec Bradley BM Estelli - Torpedo</t>
  </si>
  <si>
    <t>rm</t>
  </si>
  <si>
    <t>Alec Bradley BM Estelli - Robusto box 22</t>
  </si>
  <si>
    <t>ALEC Bradley TOTW Short Series - 6's</t>
  </si>
  <si>
    <t>14/5/21-2</t>
  </si>
  <si>
    <t>Alec Bradley TOTW Toro - Sampler 6's</t>
  </si>
  <si>
    <t>CHECK QUANTITY RECEIVED 15</t>
  </si>
  <si>
    <t>ASHTON VSG 5-PK SAMPLER</t>
  </si>
  <si>
    <t>AVO</t>
  </si>
  <si>
    <t>Camacho Triple Maduro</t>
  </si>
  <si>
    <t>CAO Ellens Dream</t>
  </si>
  <si>
    <t>CAO Moontrace Petite Corona</t>
  </si>
  <si>
    <t>CAO020</t>
  </si>
  <si>
    <t>CAO WORLD SAMPLER 4 CIGARS</t>
  </si>
  <si>
    <t>COHIBA</t>
  </si>
  <si>
    <t>2020 2020 2013</t>
  </si>
  <si>
    <t>2010 2011</t>
  </si>
  <si>
    <t>not in RM</t>
  </si>
  <si>
    <t>10 x 2017 12/5/20</t>
  </si>
  <si>
    <t xml:space="preserve">check stock </t>
  </si>
  <si>
    <t>Davidoff Primeros Dominican Tin 6 Nat</t>
  </si>
  <si>
    <t>6x5</t>
  </si>
  <si>
    <t>Davidoff Primeros Nicaragua  Tin 6</t>
  </si>
  <si>
    <t>8x5</t>
  </si>
  <si>
    <t>Davidoff Primeros Nicaragua Maduro Tin 6</t>
  </si>
  <si>
    <t>7x5</t>
  </si>
  <si>
    <t>Davidoff Primeros Dominican Maduro Tin 6</t>
  </si>
  <si>
    <t>4x5</t>
  </si>
  <si>
    <t>9x5</t>
  </si>
  <si>
    <t xml:space="preserve">9x10 </t>
  </si>
  <si>
    <t>30*5</t>
  </si>
  <si>
    <t>10x3</t>
  </si>
  <si>
    <t>DAV015/web DAV015.1 pac5</t>
  </si>
  <si>
    <t>Davidoff Grand Cru #2 - 25s (5pack of 5)</t>
  </si>
  <si>
    <t>Davidoff Late Hour WC - Churchill 20's</t>
  </si>
  <si>
    <t>13/5/21+5</t>
  </si>
  <si>
    <t>Davidoff Zino Platinum Stout - Tin of 12</t>
  </si>
  <si>
    <t>3x3 Tubos By Davidoff Churchill</t>
  </si>
  <si>
    <t>Davidoff Premium 3 Selection 9 Assortment</t>
  </si>
  <si>
    <t>Acid 20 - 20th Anniversary Box 24</t>
  </si>
  <si>
    <t>Liga Pivada No 9 Toro Oscuro- Box of 24</t>
  </si>
  <si>
    <t>Drew Estate Undercrown Maduro Coronet tin of 10</t>
  </si>
  <si>
    <t>5 tins per</t>
  </si>
  <si>
    <t>3x5</t>
  </si>
  <si>
    <t>Drew Estate Undercrown Sun Grown Coronet</t>
  </si>
  <si>
    <t>Drew Estate UC Con Shade Coronet -TIN 10</t>
  </si>
  <si>
    <t>DRE001</t>
  </si>
  <si>
    <t>Drew Estate Larutan Dirties tin of 10s</t>
  </si>
  <si>
    <t>2x5</t>
  </si>
  <si>
    <t>DRE006</t>
  </si>
  <si>
    <t>Drew Estate Larutan Big Jucy (5"x46) 24</t>
  </si>
  <si>
    <t>Deadwood Baby Jane - Tin of 10</t>
  </si>
  <si>
    <t>14x5</t>
  </si>
  <si>
    <t>DEADWOOD Sweet Jane 24</t>
  </si>
  <si>
    <t>Drew Estate Larutan Sampler 6's</t>
  </si>
  <si>
    <t>DREW ES FACTORY SMOKES SWT TORO 20</t>
  </si>
  <si>
    <t>DREW ES FACTORY SMOKES M TORO 25</t>
  </si>
  <si>
    <t>DREW ES FACTORY SMOKES M GORDITO 25</t>
  </si>
  <si>
    <t>DREW ES FACTORY SMOKE M CHURCHILL 25</t>
  </si>
  <si>
    <t>DREW ES FACTORY SMOKE SG ROB 25</t>
  </si>
  <si>
    <t>DREW ES FACTORY SMOKES SHAD TORO 20</t>
  </si>
  <si>
    <t>ISD002</t>
  </si>
  <si>
    <t>Larutan, Sampler, (6 per box)</t>
  </si>
  <si>
    <t>EP CARRILLO PLEDGE PREQUEL BOX 10</t>
  </si>
  <si>
    <t>13/5/21+3</t>
  </si>
  <si>
    <t>13/5/21+2</t>
  </si>
  <si>
    <t>EP CARRILLO ENCORE MAJESTIC - BOX 10</t>
  </si>
  <si>
    <t>EP CARRILLO LA HISTORIA E-III - BOX 10</t>
  </si>
  <si>
    <t>THE WISE MAN MADURO ROBUSTO - 25s</t>
  </si>
  <si>
    <t>HBT</t>
  </si>
  <si>
    <t>H Upmann US</t>
  </si>
  <si>
    <t>Banker Arbatage Churchill</t>
  </si>
  <si>
    <t xml:space="preserve">Joya De Nicaragua  Antano 1970- Robusto Grande 51/2 x 52 20 box </t>
  </si>
  <si>
    <t>Joya De Nicaragua Antano Assortment - 5s</t>
  </si>
  <si>
    <t>JOYA De Nicaragua Daro Corojo Sampler 5s</t>
  </si>
  <si>
    <t>KRISTOFF ROBUSTO SAMPLER - 8 CIGARS</t>
  </si>
  <si>
    <t xml:space="preserve">MONTECRISTO </t>
  </si>
  <si>
    <t>DOUBLE EDMUNDO - 2018 10'S</t>
  </si>
  <si>
    <t>MYF The Judge Grand Robusto - Box of 23</t>
  </si>
  <si>
    <t>Tatuaje Tattoo Universo Toro Box of 50</t>
  </si>
  <si>
    <t>My Father - Le Bijou 1922 Torpedo Box P</t>
  </si>
  <si>
    <t>My Father Collection Belicosos - box 6</t>
  </si>
  <si>
    <t>Jamie Garcia Reserva Especial Petite corona</t>
  </si>
  <si>
    <t>OLV020</t>
  </si>
  <si>
    <t>OLIVA</t>
  </si>
  <si>
    <t>Res. Champange 10th Ann. Conn. Corona Extra</t>
  </si>
  <si>
    <t>Res. Champange 10th Ann. Robusto</t>
  </si>
  <si>
    <t>PERD007</t>
  </si>
  <si>
    <t>Lot 23 Connecticut Belicso</t>
  </si>
  <si>
    <t>Lot 23 Robusto Sungrown</t>
  </si>
  <si>
    <t>Rocky Patel - Decade Toro - box 20</t>
  </si>
  <si>
    <t>Rocky Patel -Vintage 2006 Toro San Andr.</t>
  </si>
  <si>
    <t>Rocky Patel Travel Case Number 6 - 10's</t>
  </si>
  <si>
    <t>tins</t>
  </si>
  <si>
    <t>Rocky Patel Number 6 Robusto - box 20</t>
  </si>
  <si>
    <t>Rocky Patel Number 6 Toro - box of 20</t>
  </si>
  <si>
    <t>Rocky Patel SG Maduro Robusto Box 20</t>
  </si>
  <si>
    <t>ROP033</t>
  </si>
  <si>
    <t>Rocky Patel 1999 Connectitut petit corona</t>
  </si>
  <si>
    <t>Tatiana Dolce Vanila 50's</t>
  </si>
  <si>
    <t>14/5/21-1</t>
  </si>
  <si>
    <t>TRIESP.1</t>
  </si>
  <si>
    <t>Trinidad US</t>
  </si>
  <si>
    <t xml:space="preserve">TRINIDAD ESPIRITO TORO </t>
  </si>
  <si>
    <t>VF001.1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</si>
</sst>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22"/>
      <name val="Calibri"/>
    </font>
    <font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family val="2"/>
      <sz val="11"/>
      <name val="Calibri"/>
    </font>
    <font>
      <i/>
      <color rgb="FF4E4F4F"/>
      <family val="2"/>
      <sz val="8"/>
      <name val="Tahoma"/>
    </font>
    <font>
      <b/>
      <color theme="1"/>
      <family val="2"/>
      <scheme val="minor"/>
      <sz val="11"/>
      <name val="Calibri"/>
    </font>
    <font>
      <b/>
      <family val="2"/>
      <scheme val="minor"/>
      <sz val="11"/>
      <name val="Calibri"/>
    </font>
    <font>
      <color rgb="FF4E4F4F"/>
      <family val="2"/>
      <sz val="8"/>
      <name val="Tahoma"/>
    </font>
    <font>
      <color rgb="FF9C0006"/>
      <family val="2"/>
      <scheme val="minor"/>
      <sz val="11"/>
      <name val="Calibri"/>
    </font>
    <font>
      <color rgb="FF000000"/>
      <family val="2"/>
      <sz val="9"/>
      <name val="Arial"/>
    </font>
    <font>
      <color rgb="FF333333"/>
      <family val="2"/>
      <sz val="9"/>
      <name val="Arial"/>
    </font>
    <font>
      <b/>
      <color theme="1"/>
      <family val="2"/>
      <scheme val="minor"/>
      <sz val="20"/>
      <name val="Calibri"/>
    </font>
    <font>
      <color indexed="8"/>
      <family val="2"/>
      <scheme val="minor"/>
      <sz val="10"/>
      <name val="Calibri"/>
    </font>
    <font>
      <b/>
      <color indexed="8"/>
      <family val="2"/>
      <scheme val="minor"/>
      <sz val="9"/>
      <name val="Calibri"/>
    </font>
    <font>
      <color indexed="8"/>
      <family val="2"/>
      <scheme val="minor"/>
      <sz val="11"/>
      <name val="Calibri"/>
    </font>
    <font>
      <family val="2"/>
      <scheme val="minor"/>
      <sz val="10"/>
      <name val="Calibri"/>
    </font>
    <font>
      <b/>
      <color rgb="FF0000FF"/>
      <family val="2"/>
      <scheme val="minor"/>
      <sz val="9"/>
      <name val="Calibri"/>
    </font>
    <font>
      <color rgb="FF0000FF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family val="2"/>
      <scheme val="minor"/>
      <sz val="8"/>
      <name val="Calibri"/>
    </font>
    <font>
      <color rgb="FFFF0000"/>
      <family val="2"/>
      <scheme val="minor"/>
      <sz val="8"/>
      <name val="Calibri"/>
    </font>
    <font>
      <color rgb="FF491318"/>
      <sz val="12"/>
      <name val="Futura Bk BT"/>
    </font>
    <font>
      <b/>
      <family val="2"/>
      <scheme val="minor"/>
      <sz val="22"/>
      <name val="Calibri"/>
    </font>
    <font>
      <i/>
      <family val="2"/>
      <sz val="8"/>
      <name val="Tahoma"/>
    </font>
    <font>
      <family val="2"/>
      <sz val="8"/>
      <name val="Tahoma"/>
    </font>
    <font>
      <family val="1"/>
      <sz val="10"/>
      <name val="Times New Roman"/>
    </font>
    <font>
      <family val="1"/>
      <sz val="8"/>
      <name val="Times New Roman"/>
    </font>
    <font>
      <family val="2"/>
      <sz val="9"/>
      <name val="Arial"/>
    </font>
    <font>
      <family val="2"/>
      <scheme val="minor"/>
      <sz val="9"/>
      <name val="Calibri"/>
    </font>
    <font>
      <color theme="1"/>
      <family val="2"/>
      <scheme val="minor"/>
      <sz val="9"/>
      <name val="Calibri"/>
    </font>
    <font>
      <b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b/>
      <family val="2"/>
      <sz val="9"/>
      <name val="Lucida Sans"/>
    </font>
    <font>
      <family val="2"/>
      <sz val="9"/>
      <name val="Lucida Sans"/>
    </font>
    <font>
      <b/>
      <color rgb="FFFF0000"/>
      <family val="2"/>
      <scheme val="minor"/>
      <sz val="9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6">
    <xf numFmtId="0" fontId="0" fillId="0" borderId="0" xfId="0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top"/>
    </xf>
    <xf numFmtId="14" fontId="0" fillId="0" borderId="1" xfId="0" applyNumberFormat="1" applyBorder="1"/>
    <xf numFmtId="0" fontId="0" fillId="3" borderId="0" xfId="0" applyFill="1"/>
    <xf numFmtId="1" fontId="0" fillId="4" borderId="1" xfId="0" applyNumberFormat="1" applyFill="1" applyBorder="1" applyAlignment="1">
      <alignment horizontal="center"/>
    </xf>
    <xf numFmtId="0" fontId="0" fillId="4" borderId="0" xfId="0" applyFill="1"/>
    <xf numFmtId="0" fontId="0" fillId="4" borderId="1" xfId="0" applyFill="1" applyBorder="1"/>
    <xf numFmtId="2" fontId="0" fillId="4" borderId="1" xfId="0" applyNumberFormat="1" applyFill="1" applyBorder="1" applyAlignment="1">
      <alignment horizontal="center"/>
    </xf>
    <xf numFmtId="14" fontId="0" fillId="4" borderId="1" xfId="0" applyNumberFormat="1" applyFill="1" applyBorder="1"/>
    <xf numFmtId="0" fontId="2" fillId="4" borderId="1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49" fontId="0" fillId="4" borderId="1" xfId="0" applyNumberFormat="1" applyFill="1" applyBorder="1" applyAlignment="1">
      <alignment horizontal="center"/>
    </xf>
    <xf numFmtId="0" fontId="0" fillId="2" borderId="1" xfId="0" applyFill="1" applyBorder="1"/>
    <xf numFmtId="2" fontId="0" fillId="2" borderId="1" xfId="0" applyNumberFormat="1" applyFill="1" applyBorder="1" applyAlignment="1">
      <alignment horizontal="center"/>
    </xf>
    <xf numFmtId="14" fontId="0" fillId="3" borderId="1" xfId="0" applyNumberFormat="1" applyFill="1" applyBorder="1"/>
    <xf numFmtId="0" fontId="2" fillId="3" borderId="1" xfId="0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 vertical="top"/>
    </xf>
    <xf numFmtId="2" fontId="0" fillId="5" borderId="1" xfId="0" applyNumberFormat="1" applyFill="1" applyBorder="1" applyAlignment="1">
      <alignment horizontal="center"/>
    </xf>
    <xf numFmtId="0" fontId="3" fillId="3" borderId="1" xfId="0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top"/>
    </xf>
    <xf numFmtId="1" fontId="2" fillId="0" borderId="1" xfId="0" applyNumberFormat="1" applyFont="1" applyBorder="1" applyAlignment="1">
      <alignment horizontal="center"/>
    </xf>
    <xf numFmtId="0" fontId="0" fillId="6" borderId="0" xfId="0" applyFill="1"/>
    <xf numFmtId="0" fontId="0" fillId="3" borderId="2" xfId="0" applyFill="1" applyBorder="1"/>
    <xf numFmtId="0" fontId="0" fillId="6" borderId="1" xfId="0" applyFill="1" applyBorder="1"/>
    <xf numFmtId="2" fontId="0" fillId="6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top"/>
    </xf>
    <xf numFmtId="1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top"/>
    </xf>
    <xf numFmtId="16" fontId="0" fillId="0" borderId="0" xfId="0" applyNumberFormat="1"/>
    <xf numFmtId="16" fontId="0" fillId="3" borderId="0" xfId="0" applyNumberFormat="1" applyFill="1"/>
    <xf numFmtId="0" fontId="4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left" vertical="top"/>
    </xf>
    <xf numFmtId="2" fontId="4" fillId="3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top"/>
    </xf>
    <xf numFmtId="1" fontId="4" fillId="4" borderId="1" xfId="0" applyNumberFormat="1" applyFont="1" applyFill="1" applyBorder="1" applyAlignment="1">
      <alignment horizontal="center"/>
    </xf>
    <xf numFmtId="0" fontId="4" fillId="6" borderId="1" xfId="0" applyFont="1" applyFill="1" applyBorder="1"/>
    <xf numFmtId="0" fontId="0" fillId="7" borderId="0" xfId="0" applyFill="1"/>
    <xf numFmtId="0" fontId="0" fillId="7" borderId="1" xfId="0" applyFill="1" applyBorder="1"/>
    <xf numFmtId="2" fontId="0" fillId="7" borderId="1" xfId="0" applyNumberForma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49" fontId="2" fillId="7" borderId="1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center" vertical="top"/>
    </xf>
    <xf numFmtId="49" fontId="0" fillId="7" borderId="1" xfId="0" applyNumberForma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" fontId="0" fillId="8" borderId="1" xfId="0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 vertical="top"/>
    </xf>
    <xf numFmtId="0" fontId="2" fillId="6" borderId="1" xfId="0" applyFont="1" applyFill="1" applyBorder="1"/>
    <xf numFmtId="2" fontId="2" fillId="6" borderId="1" xfId="0" applyNumberFormat="1" applyFont="1" applyFill="1" applyBorder="1" applyAlignment="1">
      <alignment horizontal="center"/>
    </xf>
    <xf numFmtId="49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top"/>
    </xf>
    <xf numFmtId="1" fontId="2" fillId="6" borderId="1" xfId="0" applyNumberFormat="1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 vertical="top"/>
    </xf>
    <xf numFmtId="0" fontId="2" fillId="4" borderId="1" xfId="0" applyFont="1" applyFill="1" applyBorder="1"/>
    <xf numFmtId="2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/>
    </xf>
    <xf numFmtId="1" fontId="2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4" fillId="4" borderId="1" xfId="0" applyFont="1" applyFill="1" applyBorder="1"/>
    <xf numFmtId="0" fontId="0" fillId="4" borderId="1" xfId="0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2" fontId="2" fillId="0" borderId="1" xfId="0" applyNumberFormat="1" applyFont="1" applyBorder="1" applyAlignment="1">
      <alignment horizontal="center"/>
    </xf>
    <xf numFmtId="0" fontId="6" fillId="0" borderId="1" xfId="0" applyFont="1" applyBorder="1"/>
    <xf numFmtId="1" fontId="4" fillId="3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14" fontId="7" fillId="6" borderId="1" xfId="0" applyNumberFormat="1" applyFont="1" applyFill="1" applyBorder="1"/>
    <xf numFmtId="2" fontId="7" fillId="6" borderId="1" xfId="0" applyNumberFormat="1" applyFont="1" applyFill="1" applyBorder="1" applyAlignment="1">
      <alignment horizontal="center"/>
    </xf>
    <xf numFmtId="14" fontId="0" fillId="6" borderId="1" xfId="0" applyNumberFormat="1" applyFill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3" borderId="1" xfId="0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5" fillId="3" borderId="1" xfId="0" applyFont="1" applyFill="1" applyBorder="1"/>
    <xf numFmtId="14" fontId="6" fillId="3" borderId="1" xfId="0" applyNumberFormat="1" applyFont="1" applyFill="1" applyBorder="1"/>
    <xf numFmtId="2" fontId="6" fillId="3" borderId="1" xfId="0" applyNumberFormat="1" applyFont="1" applyFill="1" applyBorder="1" applyAlignment="1">
      <alignment horizontal="center"/>
    </xf>
    <xf numFmtId="14" fontId="6" fillId="4" borderId="1" xfId="0" applyNumberFormat="1" applyFont="1" applyFill="1" applyBorder="1"/>
    <xf numFmtId="2" fontId="6" fillId="4" borderId="1" xfId="0" applyNumberFormat="1" applyFont="1" applyFill="1" applyBorder="1" applyAlignment="1">
      <alignment horizontal="center"/>
    </xf>
    <xf numFmtId="0" fontId="8" fillId="0" borderId="1" xfId="0" applyFont="1" applyBorder="1"/>
    <xf numFmtId="2" fontId="8" fillId="0" borderId="1" xfId="0" applyNumberFormat="1" applyFont="1" applyBorder="1" applyAlignment="1">
      <alignment horizontal="center"/>
    </xf>
    <xf numFmtId="14" fontId="7" fillId="3" borderId="1" xfId="0" applyNumberFormat="1" applyFont="1" applyFill="1" applyBorder="1"/>
    <xf numFmtId="2" fontId="7" fillId="3" borderId="1" xfId="0" applyNumberFormat="1" applyFont="1" applyFill="1" applyBorder="1" applyAlignment="1">
      <alignment horizontal="center"/>
    </xf>
    <xf numFmtId="14" fontId="0" fillId="6" borderId="1" xfId="0" applyNumberFormat="1" applyFill="1" applyBorder="1"/>
    <xf numFmtId="2" fontId="2" fillId="5" borderId="1" xfId="0" applyNumberFormat="1" applyFont="1" applyFill="1" applyBorder="1" applyAlignment="1">
      <alignment horizontal="center"/>
    </xf>
    <xf numFmtId="0" fontId="6" fillId="6" borderId="1" xfId="0" applyFont="1" applyFill="1" applyBorder="1"/>
    <xf numFmtId="2" fontId="6" fillId="6" borderId="1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6" fillId="3" borderId="1" xfId="0" applyFont="1" applyFill="1" applyBorder="1"/>
    <xf numFmtId="2" fontId="6" fillId="5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 vertical="top"/>
    </xf>
    <xf numFmtId="2" fontId="6" fillId="0" borderId="1" xfId="0" applyNumberFormat="1" applyFont="1" applyBorder="1" applyAlignment="1">
      <alignment horizontal="center"/>
    </xf>
    <xf numFmtId="0" fontId="6" fillId="4" borderId="1" xfId="0" applyFont="1" applyFill="1" applyBorder="1"/>
    <xf numFmtId="49" fontId="0" fillId="3" borderId="0" xfId="0" applyNumberFormat="1" applyFill="1" applyAlignment="1">
      <alignment horizontal="center"/>
    </xf>
    <xf numFmtId="14" fontId="0" fillId="3" borderId="0" xfId="0" applyNumberFormat="1" applyFill="1"/>
    <xf numFmtId="14" fontId="6" fillId="6" borderId="1" xfId="0" applyNumberFormat="1" applyFont="1" applyFill="1" applyBorder="1"/>
    <xf numFmtId="49" fontId="0" fillId="6" borderId="0" xfId="0" applyNumberFormat="1" applyFill="1" applyAlignment="1">
      <alignment horizontal="center"/>
    </xf>
    <xf numFmtId="0" fontId="5" fillId="3" borderId="0" xfId="0" applyFont="1" applyFill="1"/>
    <xf numFmtId="0" fontId="5" fillId="6" borderId="0" xfId="0" applyFont="1" applyFill="1"/>
    <xf numFmtId="2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 vertical="top"/>
    </xf>
    <xf numFmtId="1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 vertical="top"/>
    </xf>
    <xf numFmtId="49" fontId="0" fillId="3" borderId="1" xfId="0" applyNumberFormat="1" applyFill="1" applyBorder="1" applyAlignment="1">
      <alignment horizontal="center" vertical="top"/>
    </xf>
    <xf numFmtId="2" fontId="7" fillId="5" borderId="1" xfId="0" applyNumberFormat="1" applyFont="1" applyFill="1" applyBorder="1" applyAlignment="1">
      <alignment horizontal="center"/>
    </xf>
    <xf numFmtId="14" fontId="7" fillId="4" borderId="1" xfId="0" applyNumberFormat="1" applyFont="1" applyFill="1" applyBorder="1"/>
    <xf numFmtId="2" fontId="7" fillId="4" borderId="1" xfId="0" applyNumberFormat="1" applyFont="1" applyFill="1" applyBorder="1" applyAlignment="1">
      <alignment horizontal="center"/>
    </xf>
    <xf numFmtId="49" fontId="0" fillId="3" borderId="1" xfId="0" applyNumberFormat="1" applyFill="1" applyBorder="1"/>
    <xf numFmtId="14" fontId="7" fillId="0" borderId="1" xfId="0" applyNumberFormat="1" applyFont="1" applyBorder="1"/>
    <xf numFmtId="2" fontId="7" fillId="0" borderId="1" xfId="0" applyNumberFormat="1" applyFont="1" applyBorder="1" applyAlignment="1">
      <alignment horizontal="center"/>
    </xf>
    <xf numFmtId="0" fontId="0" fillId="9" borderId="1" xfId="0" applyFill="1" applyBorder="1" applyAlignment="1">
      <alignment horizontal="left" vertical="top"/>
    </xf>
    <xf numFmtId="0" fontId="9" fillId="1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/>
    <xf numFmtId="49" fontId="0" fillId="0" borderId="1" xfId="0" applyNumberFormat="1" applyBorder="1"/>
    <xf numFmtId="14" fontId="2" fillId="3" borderId="1" xfId="0" applyNumberFormat="1" applyFont="1" applyFill="1" applyBorder="1"/>
    <xf numFmtId="0" fontId="3" fillId="0" borderId="1" xfId="0" applyFont="1" applyBorder="1"/>
    <xf numFmtId="2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0" fontId="3" fillId="3" borderId="0" xfId="0" applyFont="1" applyFill="1"/>
    <xf numFmtId="0" fontId="3" fillId="3" borderId="1" xfId="0" applyFont="1" applyFill="1" applyBorder="1"/>
    <xf numFmtId="2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center"/>
    </xf>
    <xf numFmtId="0" fontId="10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top"/>
    </xf>
    <xf numFmtId="0" fontId="10" fillId="0" borderId="1" xfId="0" applyFont="1" applyBorder="1"/>
    <xf numFmtId="0" fontId="10" fillId="11" borderId="1" xfId="0" applyFont="1" applyFill="1" applyBorder="1" applyAlignment="1">
      <alignment horizontal="left" vertical="top" wrapText="1"/>
    </xf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left" vertical="top"/>
    </xf>
    <xf numFmtId="1" fontId="0" fillId="12" borderId="1" xfId="0" applyNumberFormat="1" applyFill="1" applyBorder="1" applyAlignment="1">
      <alignment horizontal="center"/>
    </xf>
    <xf numFmtId="9" fontId="0" fillId="3" borderId="1" xfId="0" applyNumberFormat="1" applyFill="1" applyBorder="1"/>
    <xf numFmtId="49" fontId="0" fillId="6" borderId="1" xfId="0" applyNumberFormat="1" applyFill="1" applyBorder="1" applyAlignment="1">
      <alignment horizontal="center" vertical="top"/>
    </xf>
    <xf numFmtId="0" fontId="11" fillId="0" borderId="1" xfId="0" applyFont="1" applyBorder="1"/>
    <xf numFmtId="2" fontId="4" fillId="5" borderId="1" xfId="0" applyNumberFormat="1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0" fontId="8" fillId="3" borderId="1" xfId="0" applyFont="1" applyFill="1" applyBorder="1"/>
    <xf numFmtId="2" fontId="8" fillId="5" borderId="1" xfId="0" applyNumberFormat="1" applyFont="1" applyFill="1" applyBorder="1" applyAlignment="1">
      <alignment horizontal="center"/>
    </xf>
    <xf numFmtId="0" fontId="11" fillId="3" borderId="1" xfId="0" applyFont="1" applyFill="1" applyBorder="1"/>
    <xf numFmtId="0" fontId="0" fillId="13" borderId="1" xfId="0" applyFill="1" applyBorder="1"/>
    <xf numFmtId="2" fontId="0" fillId="3" borderId="1" xfId="0" applyNumberFormat="1" applyFill="1" applyBorder="1" applyAlignment="1">
      <alignment horizontal="left" vertical="top"/>
    </xf>
    <xf numFmtId="2" fontId="2" fillId="0" borderId="1" xfId="0" applyNumberFormat="1" applyFont="1" applyBorder="1" applyAlignment="1">
      <alignment horizontal="left" vertical="top"/>
    </xf>
    <xf numFmtId="2" fontId="0" fillId="4" borderId="1" xfId="0" applyNumberFormat="1" applyFill="1" applyBorder="1" applyAlignment="1">
      <alignment horizontal="left" vertical="top"/>
    </xf>
    <xf numFmtId="0" fontId="0" fillId="14" borderId="1" xfId="0" applyFill="1" applyBorder="1" applyAlignment="1">
      <alignment horizontal="left" vertical="top"/>
    </xf>
    <xf numFmtId="1" fontId="0" fillId="14" borderId="1" xfId="0" applyNumberFormat="1" applyFill="1" applyBorder="1" applyAlignment="1">
      <alignment horizontal="center"/>
    </xf>
    <xf numFmtId="0" fontId="0" fillId="0" borderId="2" xfId="0" applyBorder="1"/>
    <xf numFmtId="2" fontId="2" fillId="3" borderId="1" xfId="0" applyNumberFormat="1" applyFont="1" applyFill="1" applyBorder="1" applyAlignment="1">
      <alignment horizontal="left" vertical="top"/>
    </xf>
    <xf numFmtId="2" fontId="2" fillId="4" borderId="1" xfId="0" applyNumberFormat="1" applyFont="1" applyFill="1" applyBorder="1" applyAlignment="1">
      <alignment horizontal="left" vertical="top"/>
    </xf>
    <xf numFmtId="0" fontId="0" fillId="12" borderId="1" xfId="0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16" fontId="0" fillId="3" borderId="1" xfId="0" applyNumberFormat="1" applyFill="1" applyBorder="1"/>
    <xf numFmtId="14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3" borderId="0" xfId="0" applyFill="1" applyAlignment="1">
      <alignment horizontal="center"/>
    </xf>
    <xf numFmtId="0" fontId="12" fillId="0" borderId="0" xfId="0" applyFont="1"/>
    <xf numFmtId="0" fontId="2" fillId="3" borderId="4" xfId="0" applyFont="1" applyFill="1" applyBorder="1"/>
    <xf numFmtId="2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49" fontId="2" fillId="3" borderId="4" xfId="0" applyNumberFormat="1" applyFont="1" applyFill="1" applyBorder="1" applyAlignment="1">
      <alignment horizontal="center"/>
    </xf>
    <xf numFmtId="0" fontId="0" fillId="3" borderId="4" xfId="0" applyFill="1" applyBorder="1"/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/>
    </xf>
    <xf numFmtId="1" fontId="0" fillId="4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 vertical="top"/>
    </xf>
    <xf numFmtId="49" fontId="0" fillId="3" borderId="4" xfId="0" applyNumberFormat="1" applyFill="1" applyBorder="1" applyAlignment="1">
      <alignment horizontal="center"/>
    </xf>
    <xf numFmtId="0" fontId="13" fillId="3" borderId="1" xfId="0" applyFont="1" applyFill="1" applyBorder="1"/>
    <xf numFmtId="2" fontId="13" fillId="3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/>
    <xf numFmtId="2" fontId="16" fillId="3" borderId="1" xfId="0" applyNumberFormat="1" applyFont="1" applyFill="1" applyBorder="1" applyAlignment="1">
      <alignment horizontal="center"/>
    </xf>
    <xf numFmtId="0" fontId="17" fillId="3" borderId="1" xfId="0" applyFont="1" applyFill="1" applyBorder="1" applyAlignment="1">
      <alignment horizontal="left"/>
    </xf>
    <xf numFmtId="0" fontId="18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2" fontId="0" fillId="3" borderId="5" xfId="0" applyNumberFormat="1" applyFill="1" applyBorder="1" applyAlignment="1">
      <alignment horizontal="center"/>
    </xf>
    <xf numFmtId="0" fontId="0" fillId="3" borderId="5" xfId="0" applyFill="1" applyBorder="1"/>
    <xf numFmtId="0" fontId="2" fillId="3" borderId="5" xfId="0" applyFont="1" applyFill="1" applyBorder="1" applyAlignment="1">
      <alignment horizontal="left"/>
    </xf>
    <xf numFmtId="49" fontId="2" fillId="3" borderId="5" xfId="0" applyNumberFormat="1" applyFont="1" applyFill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3" borderId="5" xfId="0" applyFill="1" applyBorder="1" applyAlignment="1">
      <alignment horizontal="left" vertical="top"/>
    </xf>
    <xf numFmtId="0" fontId="0" fillId="3" borderId="5" xfId="0" applyFill="1" applyBorder="1" applyAlignment="1">
      <alignment horizontal="center"/>
    </xf>
    <xf numFmtId="0" fontId="0" fillId="3" borderId="5" xfId="0" applyFill="1" applyBorder="1" applyAlignment="1">
      <alignment horizontal="center" vertical="top"/>
    </xf>
    <xf numFmtId="49" fontId="0" fillId="0" borderId="5" xfId="0" applyNumberFormat="1" applyBorder="1" applyAlignment="1">
      <alignment horizontal="center"/>
    </xf>
    <xf numFmtId="0" fontId="0" fillId="6" borderId="2" xfId="0" applyFill="1" applyBorder="1"/>
    <xf numFmtId="2" fontId="0" fillId="6" borderId="2" xfId="0" applyNumberFormat="1" applyFill="1" applyBorder="1" applyAlignment="1">
      <alignment horizontal="center"/>
    </xf>
    <xf numFmtId="0" fontId="2" fillId="6" borderId="2" xfId="0" applyFont="1" applyFill="1" applyBorder="1" applyAlignment="1">
      <alignment horizontal="left"/>
    </xf>
    <xf numFmtId="49" fontId="2" fillId="6" borderId="2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top"/>
    </xf>
    <xf numFmtId="1" fontId="0" fillId="6" borderId="2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 vertical="top"/>
    </xf>
    <xf numFmtId="49" fontId="0" fillId="6" borderId="2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4" borderId="5" xfId="0" applyFill="1" applyBorder="1"/>
    <xf numFmtId="0" fontId="0" fillId="4" borderId="5" xfId="0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3" borderId="4" xfId="0" applyFill="1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1" fontId="2" fillId="4" borderId="5" xfId="0" applyNumberFormat="1" applyFont="1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0" fontId="0" fillId="0" borderId="6" xfId="0" applyBorder="1"/>
    <xf numFmtId="1" fontId="2" fillId="3" borderId="4" xfId="0" applyNumberFormat="1" applyFont="1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0" fontId="2" fillId="4" borderId="5" xfId="0" applyFont="1" applyFill="1" applyBorder="1" applyAlignment="1">
      <alignment horizontal="left"/>
    </xf>
    <xf numFmtId="49" fontId="2" fillId="4" borderId="5" xfId="0" applyNumberFormat="1" applyFon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left" vertical="top"/>
    </xf>
    <xf numFmtId="0" fontId="0" fillId="4" borderId="5" xfId="0" applyFill="1" applyBorder="1" applyAlignment="1">
      <alignment horizontal="center" vertical="top"/>
    </xf>
    <xf numFmtId="49" fontId="0" fillId="4" borderId="5" xfId="0" applyNumberFormat="1" applyFill="1" applyBorder="1" applyAlignment="1">
      <alignment horizontal="center"/>
    </xf>
    <xf numFmtId="0" fontId="0" fillId="4" borderId="4" xfId="0" applyFill="1" applyBorder="1" applyAlignment="1">
      <alignment horizontal="left" vertical="top"/>
    </xf>
    <xf numFmtId="0" fontId="19" fillId="0" borderId="0" xfId="0" applyFont="1"/>
    <xf numFmtId="0" fontId="0" fillId="5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0" fillId="0" borderId="0" xfId="0" applyFont="1"/>
    <xf numFmtId="0" fontId="0" fillId="5" borderId="0" xfId="0" applyFill="1"/>
    <xf numFmtId="0" fontId="20" fillId="3" borderId="0" xfId="0" applyFont="1" applyFill="1"/>
    <xf numFmtId="0" fontId="2" fillId="0" borderId="0" xfId="0" applyFont="1"/>
    <xf numFmtId="0" fontId="21" fillId="0" borderId="0" xfId="0" applyFont="1"/>
    <xf numFmtId="0" fontId="2" fillId="0" borderId="0" xfId="0" applyFont="1" applyAlignment="1">
      <alignment horizontal="center"/>
    </xf>
    <xf numFmtId="0" fontId="0" fillId="15" borderId="0" xfId="0" applyFill="1"/>
    <xf numFmtId="14" fontId="0" fillId="0" borderId="0" xfId="0" applyNumberFormat="1" applyAlignment="1">
      <alignment horizontal="center"/>
    </xf>
    <xf numFmtId="0" fontId="2" fillId="3" borderId="0" xfId="0" applyFont="1" applyFill="1"/>
    <xf numFmtId="0" fontId="21" fillId="3" borderId="0" xfId="0" applyFont="1" applyFill="1"/>
    <xf numFmtId="0" fontId="3" fillId="4" borderId="0" xfId="0" applyFont="1" applyFill="1"/>
    <xf numFmtId="0" fontId="2" fillId="5" borderId="0" xfId="0" applyFont="1" applyFill="1"/>
    <xf numFmtId="0" fontId="2" fillId="4" borderId="0" xfId="0" applyFont="1" applyFill="1"/>
    <xf numFmtId="0" fontId="21" fillId="4" borderId="0" xfId="0" applyFont="1" applyFill="1"/>
    <xf numFmtId="0" fontId="0" fillId="4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22" fillId="3" borderId="0" xfId="0" applyFont="1" applyFill="1"/>
    <xf numFmtId="0" fontId="0" fillId="16" borderId="0" xfId="0" applyFill="1"/>
    <xf numFmtId="0" fontId="20" fillId="16" borderId="0" xfId="0" applyFont="1" applyFill="1"/>
    <xf numFmtId="0" fontId="22" fillId="0" borderId="0" xfId="0" applyFont="1"/>
    <xf numFmtId="0" fontId="23" fillId="0" borderId="0" xfId="0" applyFont="1"/>
    <xf numFmtId="2" fontId="0" fillId="0" borderId="0" xfId="0" applyNumberFormat="1"/>
    <xf numFmtId="0" fontId="0" fillId="12" borderId="0" xfId="0" applyFill="1"/>
    <xf numFmtId="2" fontId="2" fillId="0" borderId="0" xfId="0" applyNumberFormat="1" applyFont="1" applyAlignment="1">
      <alignment horizontal="center"/>
    </xf>
    <xf numFmtId="0" fontId="24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/>
    <xf numFmtId="14" fontId="2" fillId="4" borderId="1" xfId="0" applyNumberFormat="1" applyFont="1" applyFill="1" applyBorder="1"/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top"/>
    </xf>
    <xf numFmtId="14" fontId="2" fillId="4" borderId="1" xfId="0" applyNumberFormat="1" applyFont="1" applyFill="1" applyBorder="1" applyAlignment="1">
      <alignment horizontal="center"/>
    </xf>
    <xf numFmtId="0" fontId="25" fillId="0" borderId="1" xfId="0" applyFont="1" applyBorder="1"/>
    <xf numFmtId="12" fontId="2" fillId="0" borderId="1" xfId="0" applyNumberFormat="1" applyFont="1" applyBorder="1"/>
    <xf numFmtId="0" fontId="2" fillId="6" borderId="0" xfId="0" applyFont="1" applyFill="1"/>
    <xf numFmtId="2" fontId="26" fillId="0" borderId="1" xfId="0" applyNumberFormat="1" applyFont="1" applyBorder="1" applyAlignment="1">
      <alignment horizontal="center"/>
    </xf>
    <xf numFmtId="0" fontId="2" fillId="0" borderId="7" xfId="0" applyFont="1" applyBorder="1"/>
    <xf numFmtId="0" fontId="27" fillId="3" borderId="7" xfId="0" applyFont="1" applyFill="1" applyBorder="1"/>
    <xf numFmtId="0" fontId="27" fillId="3" borderId="1" xfId="0" applyFont="1" applyFill="1" applyBorder="1" applyAlignment="1">
      <alignment horizontal="center"/>
    </xf>
    <xf numFmtId="0" fontId="27" fillId="3" borderId="1" xfId="0" applyFont="1" applyFill="1" applyBorder="1"/>
    <xf numFmtId="0" fontId="27" fillId="3" borderId="0" xfId="0" applyFont="1" applyFill="1"/>
    <xf numFmtId="0" fontId="28" fillId="3" borderId="0" xfId="0" applyFont="1" applyFill="1" applyAlignment="1">
      <alignment wrapText="1"/>
    </xf>
    <xf numFmtId="0" fontId="27" fillId="4" borderId="0" xfId="0" applyFont="1" applyFill="1"/>
    <xf numFmtId="0" fontId="27" fillId="4" borderId="1" xfId="0" applyFont="1" applyFill="1" applyBorder="1" applyAlignment="1">
      <alignment horizontal="center"/>
    </xf>
    <xf numFmtId="0" fontId="28" fillId="4" borderId="0" xfId="0" applyFont="1" applyFill="1" applyAlignment="1">
      <alignment wrapText="1"/>
    </xf>
    <xf numFmtId="0" fontId="27" fillId="3" borderId="0" xfId="0" applyFont="1" applyFill="1" applyAlignment="1">
      <alignment horizontal="left"/>
    </xf>
    <xf numFmtId="0" fontId="2" fillId="0" borderId="2" xfId="0" applyFont="1" applyBorder="1" applyAlignment="1">
      <alignment horizontal="center"/>
    </xf>
    <xf numFmtId="0" fontId="7" fillId="0" borderId="1" xfId="0" applyFont="1" applyBorder="1"/>
    <xf numFmtId="0" fontId="29" fillId="0" borderId="1" xfId="0" applyFont="1" applyBorder="1"/>
    <xf numFmtId="0" fontId="29" fillId="0" borderId="1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9" fontId="2" fillId="0" borderId="1" xfId="0" applyNumberFormat="1" applyFont="1" applyBorder="1"/>
    <xf numFmtId="0" fontId="26" fillId="0" borderId="1" xfId="0" applyFont="1" applyBorder="1"/>
    <xf numFmtId="0" fontId="4" fillId="0" borderId="1" xfId="0" applyFont="1" applyBorder="1" applyAlignment="1">
      <alignment horizontal="left"/>
    </xf>
    <xf numFmtId="0" fontId="2" fillId="0" borderId="2" xfId="0" applyFont="1" applyBorder="1"/>
    <xf numFmtId="0" fontId="4" fillId="0" borderId="0" xfId="0" applyFo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top"/>
    </xf>
    <xf numFmtId="12" fontId="0" fillId="6" borderId="1" xfId="0" applyNumberFormat="1" applyFill="1" applyBorder="1"/>
    <xf numFmtId="2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/>
    </xf>
    <xf numFmtId="1" fontId="4" fillId="6" borderId="1" xfId="0" applyNumberFormat="1" applyFont="1" applyFill="1" applyBorder="1" applyAlignment="1">
      <alignment horizontal="center"/>
    </xf>
    <xf numFmtId="0" fontId="4" fillId="16" borderId="1" xfId="0" applyFont="1" applyFill="1" applyBorder="1"/>
    <xf numFmtId="2" fontId="4" fillId="16" borderId="1" xfId="0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left"/>
    </xf>
    <xf numFmtId="49" fontId="4" fillId="16" borderId="1" xfId="0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top"/>
    </xf>
    <xf numFmtId="1" fontId="4" fillId="16" borderId="1" xfId="0" applyNumberFormat="1" applyFont="1" applyFill="1" applyBorder="1" applyAlignment="1">
      <alignment horizontal="center"/>
    </xf>
    <xf numFmtId="0" fontId="0" fillId="16" borderId="1" xfId="0" applyFill="1" applyBorder="1"/>
    <xf numFmtId="0" fontId="0" fillId="16" borderId="1" xfId="0" applyFill="1" applyBorder="1" applyAlignment="1">
      <alignment horizontal="center" vertical="top"/>
    </xf>
    <xf numFmtId="49" fontId="0" fillId="16" borderId="1" xfId="0" applyNumberFormat="1" applyFill="1" applyBorder="1" applyAlignment="1">
      <alignment horizontal="center"/>
    </xf>
    <xf numFmtId="0" fontId="30" fillId="3" borderId="0" xfId="0" applyFont="1" applyFill="1"/>
    <xf numFmtId="0" fontId="31" fillId="0" borderId="0" xfId="0" applyFont="1"/>
    <xf numFmtId="0" fontId="32" fillId="3" borderId="1" xfId="0" applyFont="1" applyFill="1" applyBorder="1" applyAlignment="1">
      <alignment horizontal="left" vertical="top" wrapText="1"/>
    </xf>
    <xf numFmtId="0" fontId="31" fillId="3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 wrapText="1"/>
    </xf>
    <xf numFmtId="0" fontId="31" fillId="3" borderId="0" xfId="0" applyFont="1" applyFill="1"/>
    <xf numFmtId="0" fontId="33" fillId="4" borderId="1" xfId="0" applyFont="1" applyFill="1" applyBorder="1" applyAlignment="1">
      <alignment horizontal="center" vertical="center"/>
    </xf>
    <xf numFmtId="0" fontId="34" fillId="3" borderId="0" xfId="0" applyFont="1" applyFill="1"/>
    <xf numFmtId="0" fontId="30" fillId="3" borderId="1" xfId="0" applyFont="1" applyFill="1" applyBorder="1" applyAlignment="1">
      <alignment horizontal="left" vertical="top" wrapText="1"/>
    </xf>
    <xf numFmtId="0" fontId="33" fillId="3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2" fillId="3" borderId="1" xfId="0" applyFont="1" applyFill="1" applyBorder="1"/>
    <xf numFmtId="0" fontId="30" fillId="4" borderId="1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left" vertical="center"/>
    </xf>
    <xf numFmtId="0" fontId="30" fillId="3" borderId="1" xfId="0" applyFont="1" applyFill="1" applyBorder="1" applyAlignment="1">
      <alignment vertical="center"/>
    </xf>
    <xf numFmtId="0" fontId="30" fillId="3" borderId="1" xfId="0" applyFont="1" applyFill="1" applyBorder="1"/>
    <xf numFmtId="0" fontId="35" fillId="3" borderId="1" xfId="0" applyFont="1" applyFill="1" applyBorder="1" applyAlignment="1">
      <alignment horizontal="left" vertical="top" wrapText="1"/>
    </xf>
    <xf numFmtId="0" fontId="30" fillId="3" borderId="1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left" vertical="top" wrapText="1"/>
    </xf>
    <xf numFmtId="0" fontId="31" fillId="17" borderId="0" xfId="0" applyFont="1" applyFill="1"/>
    <xf numFmtId="0" fontId="32" fillId="17" borderId="1" xfId="0" applyFont="1" applyFill="1" applyBorder="1" applyAlignment="1">
      <alignment horizontal="left" vertical="top" wrapText="1"/>
    </xf>
    <xf numFmtId="0" fontId="33" fillId="17" borderId="1" xfId="0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 vertical="center"/>
    </xf>
    <xf numFmtId="0" fontId="34" fillId="17" borderId="0" xfId="0" applyFont="1" applyFill="1"/>
    <xf numFmtId="0" fontId="37" fillId="3" borderId="1" xfId="0" applyFont="1" applyFill="1" applyBorder="1" applyAlignment="1">
      <alignment horizontal="center" vertical="center"/>
    </xf>
    <xf numFmtId="0" fontId="32" fillId="3" borderId="0" xfId="0" applyFont="1" applyFill="1"/>
    <xf numFmtId="0" fontId="34" fillId="0" borderId="0" xfId="0" applyFont="1"/>
    <xf numFmtId="0" fontId="30" fillId="4" borderId="0" xfId="0" applyFont="1" applyFill="1"/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2" fillId="18" borderId="1" xfId="0" applyFont="1" applyFill="1" applyBorder="1" applyAlignment="1">
      <alignment horizontal="left"/>
    </xf>
    <xf numFmtId="0" fontId="2" fillId="19" borderId="1" xfId="0" applyFont="1" applyFill="1" applyBorder="1" applyAlignment="1">
      <alignment horizontal="left"/>
    </xf>
    <xf numFmtId="164" fontId="0" fillId="3" borderId="0" xfId="0" applyNumberFormat="1" applyFill="1"/>
    <xf numFmtId="0" fontId="0" fillId="0" borderId="5" xfId="0" applyBorder="1" applyAlignment="1">
      <alignment horizontal="center" vertical="center"/>
    </xf>
    <xf numFmtId="0" fontId="0" fillId="0" borderId="8" xfId="0" applyBorder="1"/>
    <xf numFmtId="0" fontId="4" fillId="18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6.xml"/><Relationship Id="rId6" Type="http://schemas.openxmlformats.org/officeDocument/2006/relationships/worksheet" Target="worksheets/sheet10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9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14.xml"/><Relationship Id="rId11" Type="http://schemas.openxmlformats.org/officeDocument/2006/relationships/worksheet" Target="worksheets/sheet16.xml"/><Relationship Id="rId12" Type="http://schemas.openxmlformats.org/officeDocument/2006/relationships/worksheet" Target="worksheets/sheet18.xml"/><Relationship Id="rId13" Type="http://schemas.openxmlformats.org/officeDocument/2006/relationships/worksheet" Target="worksheets/sheet7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2"/>
  <sheetViews>
    <sheetView workbookViewId="0" zoomScale="75" zoomScaleNormal="75">
      <selection activeCell="A185" sqref="A185"/>
    </sheetView>
  </sheetViews>
  <sheetFormatPr defaultRowHeight="15" outlineLevelRow="0" outlineLevelCol="0" x14ac:dyDescent="0" defaultColWidth="8.5703125"/>
  <cols>
    <col min="3" max="3" width="15.42578125" customWidth="1"/>
    <col min="4" max="4" width="36.5703125" customWidth="1"/>
    <col min="7" max="7" width="11.42578125" style="208" customWidth="1"/>
    <col min="8" max="8" width="10.5703125" customWidth="1"/>
    <col min="9" max="10" width="8.5703125" style="376" customWidth="1"/>
  </cols>
  <sheetData>
    <row r="1" spans="8:8" x14ac:dyDescent="0.25">
      <c r="H1" s="209"/>
    </row>
    <row r="2" spans="7:7" x14ac:dyDescent="0.25">
      <c r="G2" s="280"/>
    </row>
    <row r="3" spans="1:7" x14ac:dyDescent="0.25">
      <c r="A3" s="10" t="s">
        <v>5402</v>
      </c>
      <c r="B3" s="10" t="s">
        <v>5403</v>
      </c>
      <c r="C3" s="10" t="s">
        <v>5404</v>
      </c>
      <c r="D3" s="10" t="s">
        <v>5405</v>
      </c>
      <c r="E3" s="10" t="s">
        <v>5406</v>
      </c>
      <c r="F3" s="10" t="s">
        <v>5407</v>
      </c>
      <c r="G3" s="52" t="s">
        <v>5408</v>
      </c>
    </row>
    <row r="4" spans="1:10" x14ac:dyDescent="0.25">
      <c r="A4" s="17" t="s">
        <v>38</v>
      </c>
      <c r="B4" s="19" t="s">
        <v>29</v>
      </c>
      <c r="C4" s="20" t="s">
        <v>30</v>
      </c>
      <c r="D4" s="17" t="s">
        <v>40</v>
      </c>
      <c r="E4" s="22">
        <v>20</v>
      </c>
      <c r="F4" s="17"/>
      <c r="G4" s="100">
        <v>4</v>
      </c>
      <c r="I4" s="376">
        <f>1+10/20</f>
        <v>1.5</v>
      </c>
      <c r="J4" s="376">
        <f t="shared" ref="J4:J67" si="0">G4+I4</f>
        <v>5.5</v>
      </c>
    </row>
    <row r="5" spans="1:10" x14ac:dyDescent="0.25">
      <c r="A5" s="17" t="s">
        <v>269</v>
      </c>
      <c r="B5" s="17" t="s">
        <v>56</v>
      </c>
      <c r="C5" s="17" t="s">
        <v>57</v>
      </c>
      <c r="D5" s="17" t="s">
        <v>5409</v>
      </c>
      <c r="E5" s="22">
        <v>20</v>
      </c>
      <c r="F5" s="17"/>
      <c r="G5" s="100">
        <v>2</v>
      </c>
      <c r="I5" s="376">
        <v>1.8</v>
      </c>
      <c r="J5" s="376">
        <f t="shared" si="0"/>
        <v>3.8</v>
      </c>
    </row>
    <row r="6" spans="1:10" x14ac:dyDescent="0.25">
      <c r="A6" s="17" t="s">
        <v>288</v>
      </c>
      <c r="B6" s="17" t="s">
        <v>56</v>
      </c>
      <c r="C6" s="17" t="s">
        <v>57</v>
      </c>
      <c r="D6" s="17" t="s">
        <v>5410</v>
      </c>
      <c r="E6" s="22">
        <v>6</v>
      </c>
      <c r="F6" s="17"/>
      <c r="G6" s="100">
        <v>30</v>
      </c>
      <c r="I6" s="376">
        <v>11</v>
      </c>
      <c r="J6" s="376">
        <f t="shared" si="0"/>
        <v>41</v>
      </c>
    </row>
    <row r="7" spans="1:10" x14ac:dyDescent="0.25">
      <c r="A7" s="17" t="s">
        <v>280</v>
      </c>
      <c r="B7" s="17" t="s">
        <v>56</v>
      </c>
      <c r="C7" s="17" t="s">
        <v>57</v>
      </c>
      <c r="D7" s="17" t="s">
        <v>5411</v>
      </c>
      <c r="E7" s="22">
        <v>20</v>
      </c>
      <c r="F7" s="17"/>
      <c r="G7" s="100">
        <v>10</v>
      </c>
      <c r="I7" s="376">
        <f>1+11/20</f>
        <v>1.55</v>
      </c>
      <c r="J7" s="377">
        <f t="shared" si="0"/>
        <v>11.55</v>
      </c>
    </row>
    <row r="8" spans="1:10" x14ac:dyDescent="0.25">
      <c r="A8" s="17" t="s">
        <v>301</v>
      </c>
      <c r="B8" s="17" t="s">
        <v>56</v>
      </c>
      <c r="C8" s="17" t="s">
        <v>57</v>
      </c>
      <c r="D8" s="17" t="s">
        <v>5409</v>
      </c>
      <c r="E8" s="22">
        <v>20</v>
      </c>
      <c r="F8" s="17"/>
      <c r="G8" s="100">
        <v>2</v>
      </c>
      <c r="I8" s="376">
        <f>1+18/20</f>
        <v>1.9</v>
      </c>
      <c r="J8" s="376">
        <f t="shared" si="0"/>
        <v>3.9</v>
      </c>
    </row>
    <row r="9" spans="1:10" x14ac:dyDescent="0.25">
      <c r="A9" s="17" t="s">
        <v>113</v>
      </c>
      <c r="B9" s="17" t="s">
        <v>56</v>
      </c>
      <c r="C9" s="17" t="s">
        <v>57</v>
      </c>
      <c r="D9" s="17" t="s">
        <v>5412</v>
      </c>
      <c r="E9" s="22">
        <v>15</v>
      </c>
      <c r="F9" s="17"/>
      <c r="G9" s="100">
        <f>11+3</f>
        <v>14</v>
      </c>
      <c r="I9" s="376">
        <f>1+4/15</f>
        <v>1.2666666666666666</v>
      </c>
      <c r="J9" s="376">
        <f t="shared" si="0"/>
        <v>15.266666666666666</v>
      </c>
    </row>
    <row r="10" spans="1:10" x14ac:dyDescent="0.25">
      <c r="A10" s="17" t="s">
        <v>103</v>
      </c>
      <c r="B10" s="17" t="s">
        <v>56</v>
      </c>
      <c r="C10" s="17" t="s">
        <v>57</v>
      </c>
      <c r="D10" s="17" t="s">
        <v>5413</v>
      </c>
      <c r="E10" s="22">
        <v>15</v>
      </c>
      <c r="F10" s="17"/>
      <c r="G10" s="100">
        <f>9+3</f>
        <v>12</v>
      </c>
      <c r="I10" s="376">
        <f>1/15</f>
        <v>0.06666666666666667</v>
      </c>
      <c r="J10" s="376">
        <f t="shared" si="0"/>
        <v>12.066666666666666</v>
      </c>
    </row>
    <row r="11" spans="1:10" x14ac:dyDescent="0.25">
      <c r="A11" s="17" t="s">
        <v>123</v>
      </c>
      <c r="B11" s="17" t="s">
        <v>56</v>
      </c>
      <c r="C11" s="17" t="s">
        <v>57</v>
      </c>
      <c r="D11" s="17" t="s">
        <v>5414</v>
      </c>
      <c r="E11" s="22">
        <v>15</v>
      </c>
      <c r="F11" s="17"/>
      <c r="G11" s="100">
        <f>9+3</f>
        <v>12</v>
      </c>
      <c r="I11" s="376">
        <f>2+2/15</f>
        <v>2.1333333333333333</v>
      </c>
      <c r="J11" s="376">
        <f t="shared" si="0"/>
        <v>14.133333333333333</v>
      </c>
    </row>
    <row r="12" spans="1:10" x14ac:dyDescent="0.25">
      <c r="A12" s="17" t="s">
        <v>329</v>
      </c>
      <c r="B12" s="17" t="s">
        <v>56</v>
      </c>
      <c r="C12" s="17" t="s">
        <v>57</v>
      </c>
      <c r="D12" s="17" t="s">
        <v>5415</v>
      </c>
      <c r="E12" s="22">
        <v>20</v>
      </c>
      <c r="F12" s="17"/>
      <c r="G12" s="100">
        <v>3</v>
      </c>
      <c r="I12" s="376">
        <f>13/20</f>
        <v>0.65</v>
      </c>
      <c r="J12" s="376">
        <f t="shared" si="0"/>
        <v>3.65</v>
      </c>
    </row>
    <row r="13" spans="1:10" x14ac:dyDescent="0.25">
      <c r="A13" s="17" t="s">
        <v>353</v>
      </c>
      <c r="B13" s="17" t="s">
        <v>56</v>
      </c>
      <c r="C13" s="17" t="s">
        <v>57</v>
      </c>
      <c r="D13" s="17" t="s">
        <v>5416</v>
      </c>
      <c r="E13" s="22">
        <v>20</v>
      </c>
      <c r="F13" s="17"/>
      <c r="G13" s="100">
        <v>3</v>
      </c>
      <c r="I13" s="376">
        <f>17/20</f>
        <v>0.85</v>
      </c>
      <c r="J13" s="376">
        <f t="shared" si="0"/>
        <v>3.85</v>
      </c>
    </row>
    <row r="14" spans="1:10" x14ac:dyDescent="0.25">
      <c r="A14" s="17" t="s">
        <v>136</v>
      </c>
      <c r="B14" s="17" t="s">
        <v>56</v>
      </c>
      <c r="C14" s="17" t="s">
        <v>57</v>
      </c>
      <c r="D14" s="17" t="s">
        <v>5417</v>
      </c>
      <c r="E14" s="22">
        <v>20</v>
      </c>
      <c r="F14" s="17"/>
      <c r="G14" s="100">
        <v>2</v>
      </c>
      <c r="I14" s="376">
        <f>2+6/20</f>
        <v>2.3</v>
      </c>
      <c r="J14" s="378">
        <f t="shared" si="0"/>
        <v>4.3</v>
      </c>
    </row>
    <row r="15" spans="1:10" x14ac:dyDescent="0.25">
      <c r="A15" s="17" t="s">
        <v>155</v>
      </c>
      <c r="B15" s="17" t="s">
        <v>56</v>
      </c>
      <c r="C15" s="17" t="s">
        <v>57</v>
      </c>
      <c r="D15" s="17" t="s">
        <v>5418</v>
      </c>
      <c r="E15" s="22">
        <v>20</v>
      </c>
      <c r="F15" s="17"/>
      <c r="G15" s="100">
        <v>1</v>
      </c>
      <c r="I15" s="376">
        <f>16/20</f>
        <v>0.8</v>
      </c>
      <c r="J15" s="376">
        <f t="shared" si="0"/>
        <v>1.8</v>
      </c>
    </row>
    <row r="16" spans="1:10" x14ac:dyDescent="0.25">
      <c r="A16" s="17" t="s">
        <v>180</v>
      </c>
      <c r="B16" s="17" t="s">
        <v>56</v>
      </c>
      <c r="C16" s="17" t="s">
        <v>57</v>
      </c>
      <c r="D16" s="17" t="s">
        <v>5419</v>
      </c>
      <c r="E16" s="22">
        <v>20</v>
      </c>
      <c r="F16" s="17"/>
      <c r="G16" s="100">
        <v>2</v>
      </c>
      <c r="I16" s="376">
        <f>2+19/20</f>
        <v>2.95</v>
      </c>
      <c r="J16" s="376">
        <f t="shared" si="0"/>
        <v>4.95</v>
      </c>
    </row>
    <row r="17" spans="1:10" x14ac:dyDescent="0.25">
      <c r="A17" s="17" t="s">
        <v>176</v>
      </c>
      <c r="B17" s="17" t="s">
        <v>56</v>
      </c>
      <c r="C17" s="17" t="s">
        <v>57</v>
      </c>
      <c r="D17" s="17" t="s">
        <v>5420</v>
      </c>
      <c r="E17" s="22">
        <v>20</v>
      </c>
      <c r="F17" s="17"/>
      <c r="G17" s="100">
        <v>1</v>
      </c>
      <c r="I17" s="376">
        <v>0.7</v>
      </c>
      <c r="J17" s="376">
        <f t="shared" si="0"/>
        <v>1.7</v>
      </c>
    </row>
    <row r="18" spans="1:10" x14ac:dyDescent="0.25">
      <c r="A18" s="17" t="s">
        <v>185</v>
      </c>
      <c r="B18" s="17" t="s">
        <v>56</v>
      </c>
      <c r="C18" s="17" t="s">
        <v>57</v>
      </c>
      <c r="D18" s="17" t="s">
        <v>5421</v>
      </c>
      <c r="E18" s="22">
        <v>25</v>
      </c>
      <c r="F18" s="17"/>
      <c r="G18" s="100">
        <v>4</v>
      </c>
      <c r="I18" s="376">
        <v>2</v>
      </c>
      <c r="J18" s="376">
        <f t="shared" si="0"/>
        <v>6</v>
      </c>
    </row>
    <row r="19" spans="1:10" x14ac:dyDescent="0.25">
      <c r="A19" s="17" t="s">
        <v>226</v>
      </c>
      <c r="B19" s="17" t="s">
        <v>56</v>
      </c>
      <c r="C19" s="17" t="s">
        <v>57</v>
      </c>
      <c r="D19" s="17" t="s">
        <v>5422</v>
      </c>
      <c r="E19" s="22">
        <v>25</v>
      </c>
      <c r="F19" s="17"/>
      <c r="G19" s="100">
        <v>3</v>
      </c>
      <c r="I19" s="376">
        <f>6/25</f>
        <v>0.24</v>
      </c>
      <c r="J19" s="376">
        <f t="shared" si="0"/>
        <v>3.24</v>
      </c>
    </row>
    <row r="20" spans="1:10" x14ac:dyDescent="0.25">
      <c r="A20" s="17" t="s">
        <v>90</v>
      </c>
      <c r="B20" s="17" t="s">
        <v>56</v>
      </c>
      <c r="C20" s="17" t="s">
        <v>57</v>
      </c>
      <c r="D20" s="17" t="s">
        <v>5423</v>
      </c>
      <c r="E20" s="22">
        <v>20</v>
      </c>
      <c r="F20" s="17"/>
      <c r="G20" s="100">
        <v>4</v>
      </c>
      <c r="I20" s="376">
        <f>1+1/16</f>
        <v>1.0625</v>
      </c>
      <c r="J20" s="376">
        <f t="shared" si="0"/>
        <v>5.0625</v>
      </c>
    </row>
    <row r="21" spans="1:10" x14ac:dyDescent="0.25">
      <c r="A21" s="17" t="s">
        <v>68</v>
      </c>
      <c r="B21" s="17" t="s">
        <v>56</v>
      </c>
      <c r="C21" s="17" t="s">
        <v>57</v>
      </c>
      <c r="D21" s="17" t="s">
        <v>5424</v>
      </c>
      <c r="E21" s="22">
        <v>20</v>
      </c>
      <c r="F21" s="17"/>
      <c r="G21" s="100">
        <v>6</v>
      </c>
      <c r="I21" s="376">
        <f>18/20</f>
        <v>0.9</v>
      </c>
      <c r="J21" s="376">
        <f t="shared" si="0"/>
        <v>6.9</v>
      </c>
    </row>
    <row r="22" spans="1:10" x14ac:dyDescent="0.25">
      <c r="A22" s="17" t="s">
        <v>373</v>
      </c>
      <c r="B22" s="17" t="s">
        <v>56</v>
      </c>
      <c r="C22" s="17" t="s">
        <v>57</v>
      </c>
      <c r="D22" s="17" t="s">
        <v>5425</v>
      </c>
      <c r="E22" s="22">
        <v>5</v>
      </c>
      <c r="F22" s="17"/>
      <c r="G22" s="100">
        <v>35</v>
      </c>
      <c r="I22" s="376">
        <v>4</v>
      </c>
      <c r="J22" s="376">
        <f t="shared" si="0"/>
        <v>39</v>
      </c>
    </row>
    <row r="23" spans="1:13" x14ac:dyDescent="0.25">
      <c r="A23" s="101" t="s">
        <v>457</v>
      </c>
      <c r="B23" s="101" t="s">
        <v>29</v>
      </c>
      <c r="C23" s="101" t="s">
        <v>386</v>
      </c>
      <c r="D23" s="101" t="s">
        <v>458</v>
      </c>
      <c r="E23" s="168">
        <v>20</v>
      </c>
      <c r="F23" s="101"/>
      <c r="G23" s="168">
        <v>3</v>
      </c>
      <c r="J23" s="376">
        <f t="shared" si="0"/>
        <v>3</v>
      </c>
      <c r="L23" s="376">
        <f>2.2-J23</f>
        <v>-0.7999999999999998</v>
      </c>
      <c r="M23">
        <f>E23*L23</f>
        <v>-15.999999999999996</v>
      </c>
    </row>
    <row r="24" spans="1:13" x14ac:dyDescent="0.25">
      <c r="A24" s="17" t="s">
        <v>520</v>
      </c>
      <c r="B24" s="17" t="s">
        <v>29</v>
      </c>
      <c r="C24" s="20" t="s">
        <v>521</v>
      </c>
      <c r="D24" s="17" t="s">
        <v>5426</v>
      </c>
      <c r="E24" s="22">
        <v>20</v>
      </c>
      <c r="F24" s="17"/>
      <c r="G24" s="100">
        <v>1</v>
      </c>
      <c r="I24" s="376">
        <f>1+3/20</f>
        <v>1.15</v>
      </c>
      <c r="J24" s="376">
        <f t="shared" si="0"/>
        <v>2.15</v>
      </c>
      <c r="L24" s="376">
        <f>4.55-J24</f>
        <v>2.4</v>
      </c>
      <c r="M24">
        <f>E24*L24</f>
        <v>48</v>
      </c>
    </row>
    <row r="25" spans="1:10" x14ac:dyDescent="0.25">
      <c r="A25" s="17" t="s">
        <v>609</v>
      </c>
      <c r="B25" s="17" t="s">
        <v>29</v>
      </c>
      <c r="C25" s="20" t="s">
        <v>521</v>
      </c>
      <c r="D25" s="17" t="s">
        <v>5427</v>
      </c>
      <c r="E25" s="22">
        <v>20</v>
      </c>
      <c r="F25" s="17"/>
      <c r="G25" s="100">
        <v>2</v>
      </c>
      <c r="I25" s="376">
        <f>1+19/20</f>
        <v>1.95</v>
      </c>
      <c r="J25" s="376">
        <f t="shared" si="0"/>
        <v>3.95</v>
      </c>
    </row>
    <row r="26" spans="1:10" x14ac:dyDescent="0.25">
      <c r="A26" s="17" t="s">
        <v>604</v>
      </c>
      <c r="B26" s="17" t="s">
        <v>29</v>
      </c>
      <c r="C26" s="20" t="s">
        <v>521</v>
      </c>
      <c r="D26" s="17" t="s">
        <v>5428</v>
      </c>
      <c r="E26" s="22">
        <v>20</v>
      </c>
      <c r="F26" s="17"/>
      <c r="G26" s="100">
        <v>7</v>
      </c>
      <c r="I26" s="376">
        <f>14/20</f>
        <v>0.7</v>
      </c>
      <c r="J26" s="376">
        <f t="shared" si="0"/>
        <v>7.7</v>
      </c>
    </row>
    <row r="27" spans="1:11" x14ac:dyDescent="0.25">
      <c r="A27" s="17" t="s">
        <v>595</v>
      </c>
      <c r="B27" s="17" t="s">
        <v>29</v>
      </c>
      <c r="C27" s="20" t="s">
        <v>521</v>
      </c>
      <c r="D27" s="17" t="s">
        <v>5429</v>
      </c>
      <c r="E27" s="22">
        <v>20</v>
      </c>
      <c r="F27" s="17"/>
      <c r="G27" s="100">
        <v>2</v>
      </c>
      <c r="I27" s="376">
        <f>18/20</f>
        <v>0.9</v>
      </c>
      <c r="J27" s="376">
        <f t="shared" si="0"/>
        <v>2.9</v>
      </c>
      <c r="K27" t="s">
        <v>5430</v>
      </c>
    </row>
    <row r="28" spans="1:11" x14ac:dyDescent="0.25">
      <c r="A28" s="17" t="s">
        <v>543</v>
      </c>
      <c r="B28" s="17" t="s">
        <v>29</v>
      </c>
      <c r="C28" s="20" t="s">
        <v>521</v>
      </c>
      <c r="D28" s="17" t="s">
        <v>5431</v>
      </c>
      <c r="E28" s="22">
        <v>22</v>
      </c>
      <c r="F28" s="17"/>
      <c r="G28" s="100">
        <v>1</v>
      </c>
      <c r="I28" s="376">
        <f>20/22</f>
        <v>0.9090909090909091</v>
      </c>
      <c r="J28" s="376">
        <f t="shared" si="0"/>
        <v>1.9090909090909092</v>
      </c>
      <c r="K28" t="s">
        <v>5432</v>
      </c>
    </row>
    <row r="29" spans="1:11" x14ac:dyDescent="0.25">
      <c r="A29" s="17" t="s">
        <v>530</v>
      </c>
      <c r="B29" s="17" t="s">
        <v>29</v>
      </c>
      <c r="C29" s="20" t="s">
        <v>521</v>
      </c>
      <c r="D29" s="17" t="s">
        <v>5433</v>
      </c>
      <c r="E29" s="22">
        <v>22</v>
      </c>
      <c r="F29" s="17"/>
      <c r="G29" s="100">
        <v>2</v>
      </c>
      <c r="I29" s="376">
        <f>12/22</f>
        <v>0.5454545454545454</v>
      </c>
      <c r="J29" s="376">
        <f t="shared" si="0"/>
        <v>2.5454545454545454</v>
      </c>
      <c r="K29" s="379"/>
    </row>
    <row r="30" spans="1:11" x14ac:dyDescent="0.25">
      <c r="A30" s="92" t="s">
        <v>621</v>
      </c>
      <c r="B30" s="92" t="s">
        <v>29</v>
      </c>
      <c r="C30" s="92" t="s">
        <v>521</v>
      </c>
      <c r="D30" s="92" t="s">
        <v>5434</v>
      </c>
      <c r="E30" s="94">
        <v>6</v>
      </c>
      <c r="F30" s="92"/>
      <c r="G30" s="302">
        <v>6</v>
      </c>
      <c r="H30" s="276" t="s">
        <v>5435</v>
      </c>
      <c r="I30" s="378">
        <v>3</v>
      </c>
      <c r="J30" s="378">
        <f t="shared" si="0"/>
        <v>9</v>
      </c>
      <c r="K30" s="379"/>
    </row>
    <row r="31" spans="1:10" x14ac:dyDescent="0.25">
      <c r="A31" s="92" t="s">
        <v>629</v>
      </c>
      <c r="B31" s="92" t="s">
        <v>29</v>
      </c>
      <c r="C31" s="92" t="s">
        <v>521</v>
      </c>
      <c r="D31" s="92" t="s">
        <v>5436</v>
      </c>
      <c r="E31" s="94">
        <v>6</v>
      </c>
      <c r="F31" s="92"/>
      <c r="G31" s="302">
        <v>13</v>
      </c>
      <c r="H31" s="276" t="s">
        <v>5435</v>
      </c>
      <c r="I31" s="378">
        <v>2</v>
      </c>
      <c r="J31" s="378">
        <f t="shared" si="0"/>
        <v>15</v>
      </c>
    </row>
    <row r="32" spans="1:10" x14ac:dyDescent="0.25">
      <c r="A32" s="17" t="s">
        <v>677</v>
      </c>
      <c r="B32" s="17" t="s">
        <v>29</v>
      </c>
      <c r="C32" s="17" t="s">
        <v>634</v>
      </c>
      <c r="D32" s="17" t="s">
        <v>678</v>
      </c>
      <c r="E32" s="22">
        <v>24</v>
      </c>
      <c r="F32" s="17"/>
      <c r="G32" s="100">
        <v>8</v>
      </c>
      <c r="I32" s="376">
        <f>20/24</f>
        <v>0.8333333333333334</v>
      </c>
      <c r="J32" s="376">
        <f t="shared" si="0"/>
        <v>8.833333333333334</v>
      </c>
    </row>
    <row r="33" spans="1:10" x14ac:dyDescent="0.25">
      <c r="A33" s="6" t="s">
        <v>689</v>
      </c>
      <c r="B33" s="6" t="s">
        <v>29</v>
      </c>
      <c r="C33" s="6" t="s">
        <v>634</v>
      </c>
      <c r="D33" s="6" t="s">
        <v>690</v>
      </c>
      <c r="E33" s="50">
        <v>24</v>
      </c>
      <c r="F33" s="6"/>
      <c r="G33" s="9">
        <v>3</v>
      </c>
      <c r="J33" s="376">
        <f t="shared" si="0"/>
        <v>3</v>
      </c>
    </row>
    <row r="34" spans="1:11" x14ac:dyDescent="0.25">
      <c r="A34" s="6" t="s">
        <v>684</v>
      </c>
      <c r="B34" s="6" t="s">
        <v>29</v>
      </c>
      <c r="C34" s="6" t="s">
        <v>634</v>
      </c>
      <c r="D34" s="6" t="s">
        <v>685</v>
      </c>
      <c r="E34" s="50">
        <v>24</v>
      </c>
      <c r="F34" s="6"/>
      <c r="G34" s="9">
        <v>1</v>
      </c>
      <c r="J34" s="376">
        <f t="shared" si="0"/>
        <v>1</v>
      </c>
      <c r="K34" t="s">
        <v>5437</v>
      </c>
    </row>
    <row r="35" spans="1:10" x14ac:dyDescent="0.25">
      <c r="A35" s="17" t="s">
        <v>668</v>
      </c>
      <c r="B35" s="17" t="s">
        <v>29</v>
      </c>
      <c r="C35" s="17" t="s">
        <v>634</v>
      </c>
      <c r="D35" s="17" t="s">
        <v>5438</v>
      </c>
      <c r="E35" s="22">
        <v>5</v>
      </c>
      <c r="F35" s="17"/>
      <c r="G35" s="100">
        <v>15</v>
      </c>
      <c r="I35" s="376">
        <v>2</v>
      </c>
      <c r="J35" s="376">
        <f t="shared" si="0"/>
        <v>17</v>
      </c>
    </row>
    <row r="36" spans="1:10" x14ac:dyDescent="0.25">
      <c r="A36" s="17" t="s">
        <v>773</v>
      </c>
      <c r="B36" s="17" t="s">
        <v>29</v>
      </c>
      <c r="C36" s="17" t="s">
        <v>746</v>
      </c>
      <c r="D36" s="17" t="s">
        <v>774</v>
      </c>
      <c r="E36" s="22">
        <v>21</v>
      </c>
      <c r="F36" s="17"/>
      <c r="G36" s="100">
        <v>2</v>
      </c>
      <c r="I36" s="376">
        <f>18/21</f>
        <v>0.8571428571428571</v>
      </c>
      <c r="J36" s="376">
        <f t="shared" si="0"/>
        <v>2.857142857142857</v>
      </c>
    </row>
    <row r="37" spans="1:10" x14ac:dyDescent="0.25">
      <c r="A37" s="17" t="s">
        <v>1143</v>
      </c>
      <c r="B37" s="17" t="s">
        <v>29</v>
      </c>
      <c r="C37" s="20" t="s">
        <v>5439</v>
      </c>
      <c r="D37" s="17" t="s">
        <v>1144</v>
      </c>
      <c r="E37" s="22">
        <v>20</v>
      </c>
      <c r="F37" s="17"/>
      <c r="G37" s="100">
        <v>5</v>
      </c>
      <c r="I37" s="376">
        <f>18/20</f>
        <v>0.9</v>
      </c>
      <c r="J37" s="376">
        <f t="shared" si="0"/>
        <v>5.9</v>
      </c>
    </row>
    <row r="38" spans="1:10" x14ac:dyDescent="0.25">
      <c r="A38" s="6" t="s">
        <v>873</v>
      </c>
      <c r="B38" s="6" t="s">
        <v>29</v>
      </c>
      <c r="C38" s="6" t="s">
        <v>874</v>
      </c>
      <c r="D38" s="6" t="s">
        <v>875</v>
      </c>
      <c r="E38" s="50">
        <v>25</v>
      </c>
      <c r="F38" s="6"/>
      <c r="G38" s="9">
        <v>1</v>
      </c>
      <c r="J38" s="376">
        <f t="shared" si="0"/>
        <v>1</v>
      </c>
    </row>
    <row r="39" spans="1:10" x14ac:dyDescent="0.25">
      <c r="A39" s="6" t="s">
        <v>930</v>
      </c>
      <c r="B39" s="6" t="s">
        <v>29</v>
      </c>
      <c r="C39" s="380" t="s">
        <v>931</v>
      </c>
      <c r="D39" s="6" t="s">
        <v>932</v>
      </c>
      <c r="E39" s="50">
        <v>24</v>
      </c>
      <c r="F39" s="6"/>
      <c r="G39" s="9">
        <v>12</v>
      </c>
      <c r="J39" s="376">
        <f t="shared" si="0"/>
        <v>12</v>
      </c>
    </row>
    <row r="40" spans="1:10" x14ac:dyDescent="0.25">
      <c r="A40" s="6" t="s">
        <v>942</v>
      </c>
      <c r="B40" s="6" t="s">
        <v>29</v>
      </c>
      <c r="C40" s="6" t="s">
        <v>943</v>
      </c>
      <c r="D40" s="6" t="s">
        <v>944</v>
      </c>
      <c r="E40" s="50">
        <v>20</v>
      </c>
      <c r="F40" s="6"/>
      <c r="G40" s="9">
        <v>9</v>
      </c>
      <c r="J40" s="376">
        <f t="shared" si="0"/>
        <v>9</v>
      </c>
    </row>
    <row r="41" spans="1:10" x14ac:dyDescent="0.25">
      <c r="A41" s="6" t="s">
        <v>987</v>
      </c>
      <c r="B41" s="6" t="s">
        <v>29</v>
      </c>
      <c r="C41" s="6" t="s">
        <v>943</v>
      </c>
      <c r="D41" s="6" t="s">
        <v>988</v>
      </c>
      <c r="E41" s="50">
        <v>20</v>
      </c>
      <c r="F41" s="6"/>
      <c r="G41" s="9">
        <v>3</v>
      </c>
      <c r="J41" s="376">
        <f t="shared" si="0"/>
        <v>3</v>
      </c>
    </row>
    <row r="42" spans="1:10" x14ac:dyDescent="0.25">
      <c r="A42" s="6" t="s">
        <v>994</v>
      </c>
      <c r="B42" s="6" t="s">
        <v>29</v>
      </c>
      <c r="C42" s="6" t="s">
        <v>943</v>
      </c>
      <c r="D42" s="6" t="s">
        <v>5440</v>
      </c>
      <c r="E42" s="50">
        <v>20</v>
      </c>
      <c r="F42" s="6"/>
      <c r="G42" s="9">
        <v>1</v>
      </c>
      <c r="J42" s="376">
        <f t="shared" si="0"/>
        <v>1</v>
      </c>
    </row>
    <row r="43" spans="1:10" x14ac:dyDescent="0.25">
      <c r="A43" s="6">
        <v>23385</v>
      </c>
      <c r="B43" s="6" t="s">
        <v>29</v>
      </c>
      <c r="C43" s="6" t="s">
        <v>1000</v>
      </c>
      <c r="D43" s="6" t="s">
        <v>5441</v>
      </c>
      <c r="E43" s="50">
        <v>25</v>
      </c>
      <c r="F43" s="6"/>
      <c r="G43" s="9">
        <v>3</v>
      </c>
      <c r="J43" s="376">
        <f t="shared" si="0"/>
        <v>3</v>
      </c>
    </row>
    <row r="44" spans="1:10" x14ac:dyDescent="0.25">
      <c r="A44" s="6">
        <v>23382</v>
      </c>
      <c r="B44" s="6" t="s">
        <v>29</v>
      </c>
      <c r="C44" s="6" t="s">
        <v>1000</v>
      </c>
      <c r="D44" s="6" t="s">
        <v>5085</v>
      </c>
      <c r="E44" s="50">
        <v>25</v>
      </c>
      <c r="F44" s="6"/>
      <c r="G44" s="9">
        <v>3</v>
      </c>
      <c r="J44" s="376">
        <f t="shared" si="0"/>
        <v>3</v>
      </c>
    </row>
    <row r="45" spans="1:10" x14ac:dyDescent="0.25">
      <c r="A45" s="6">
        <v>23384</v>
      </c>
      <c r="B45" s="6" t="s">
        <v>29</v>
      </c>
      <c r="C45" s="6" t="s">
        <v>1000</v>
      </c>
      <c r="D45" s="6" t="s">
        <v>5442</v>
      </c>
      <c r="E45" s="50">
        <v>25</v>
      </c>
      <c r="F45" s="6"/>
      <c r="G45" s="9">
        <v>3</v>
      </c>
      <c r="J45" s="376">
        <f t="shared" si="0"/>
        <v>3</v>
      </c>
    </row>
    <row r="46" spans="1:10" x14ac:dyDescent="0.25">
      <c r="A46" s="6" t="s">
        <v>5443</v>
      </c>
      <c r="B46" s="6" t="s">
        <v>29</v>
      </c>
      <c r="C46" s="6" t="s">
        <v>1000</v>
      </c>
      <c r="D46" s="6" t="s">
        <v>5444</v>
      </c>
      <c r="E46" s="50">
        <v>5</v>
      </c>
      <c r="F46" s="6"/>
      <c r="G46" s="9">
        <v>11</v>
      </c>
      <c r="J46" s="376">
        <f t="shared" si="0"/>
        <v>11</v>
      </c>
    </row>
    <row r="47" spans="1:10" x14ac:dyDescent="0.25">
      <c r="A47" s="101" t="s">
        <v>1011</v>
      </c>
      <c r="B47" s="101" t="s">
        <v>29</v>
      </c>
      <c r="C47" s="101" t="s">
        <v>1000</v>
      </c>
      <c r="D47" s="101" t="s">
        <v>1012</v>
      </c>
      <c r="E47" s="168">
        <v>4</v>
      </c>
      <c r="F47" s="101"/>
      <c r="G47" s="168">
        <v>10</v>
      </c>
      <c r="J47" s="376">
        <f t="shared" si="0"/>
        <v>10</v>
      </c>
    </row>
    <row r="48" spans="1:10" x14ac:dyDescent="0.25">
      <c r="A48" s="6">
        <v>23383</v>
      </c>
      <c r="B48" s="6" t="s">
        <v>29</v>
      </c>
      <c r="C48" s="6" t="s">
        <v>1036</v>
      </c>
      <c r="D48" s="6" t="s">
        <v>5102</v>
      </c>
      <c r="E48" s="50">
        <v>25</v>
      </c>
      <c r="F48" s="6"/>
      <c r="G48" s="9">
        <v>4</v>
      </c>
      <c r="J48" s="376">
        <f t="shared" si="0"/>
        <v>4</v>
      </c>
    </row>
    <row r="49" spans="1:10" x14ac:dyDescent="0.25">
      <c r="A49" s="222" t="s">
        <v>3243</v>
      </c>
      <c r="B49" s="222"/>
      <c r="C49" s="380" t="s">
        <v>5445</v>
      </c>
      <c r="D49" s="224" t="s">
        <v>3244</v>
      </c>
      <c r="E49" s="225">
        <v>10</v>
      </c>
      <c r="F49" s="6" t="s">
        <v>5446</v>
      </c>
      <c r="G49" s="9">
        <f>7+7+2</f>
        <v>16</v>
      </c>
      <c r="J49" s="376">
        <f t="shared" si="0"/>
        <v>16</v>
      </c>
    </row>
    <row r="50" spans="1:10" x14ac:dyDescent="0.25">
      <c r="A50" s="226" t="s">
        <v>3247</v>
      </c>
      <c r="B50" s="226"/>
      <c r="C50" s="380" t="s">
        <v>5445</v>
      </c>
      <c r="D50" s="224" t="s">
        <v>3248</v>
      </c>
      <c r="E50" s="225">
        <v>10</v>
      </c>
      <c r="F50" s="6" t="s">
        <v>5447</v>
      </c>
      <c r="G50" s="9">
        <v>2</v>
      </c>
      <c r="J50" s="376">
        <f t="shared" si="0"/>
        <v>2</v>
      </c>
    </row>
    <row r="51" spans="1:10" x14ac:dyDescent="0.25">
      <c r="A51" s="76" t="s">
        <v>3251</v>
      </c>
      <c r="B51" s="76"/>
      <c r="C51" s="380" t="s">
        <v>5445</v>
      </c>
      <c r="D51" s="224" t="s">
        <v>3252</v>
      </c>
      <c r="E51" s="225">
        <v>10</v>
      </c>
      <c r="F51" s="6">
        <v>2013</v>
      </c>
      <c r="G51" s="9">
        <v>2</v>
      </c>
      <c r="J51" s="376">
        <f t="shared" si="0"/>
        <v>2</v>
      </c>
    </row>
    <row r="52" spans="1:10" x14ac:dyDescent="0.25">
      <c r="A52" s="76" t="s">
        <v>3221</v>
      </c>
      <c r="B52" s="76"/>
      <c r="C52" s="380" t="s">
        <v>5445</v>
      </c>
      <c r="D52" s="6" t="s">
        <v>3223</v>
      </c>
      <c r="E52" s="50">
        <v>15</v>
      </c>
      <c r="F52" s="6"/>
      <c r="G52" s="9">
        <v>3</v>
      </c>
      <c r="J52" s="376">
        <f t="shared" si="0"/>
        <v>3</v>
      </c>
    </row>
    <row r="53" spans="1:10" x14ac:dyDescent="0.25">
      <c r="A53" s="6" t="s">
        <v>3239</v>
      </c>
      <c r="B53" s="6"/>
      <c r="C53" s="380" t="s">
        <v>5445</v>
      </c>
      <c r="D53" s="6" t="s">
        <v>3240</v>
      </c>
      <c r="E53" s="50">
        <v>10</v>
      </c>
      <c r="F53" s="6">
        <v>2020</v>
      </c>
      <c r="G53" s="9">
        <v>9</v>
      </c>
      <c r="J53" s="376">
        <f t="shared" si="0"/>
        <v>9</v>
      </c>
    </row>
    <row r="54" spans="1:10" x14ac:dyDescent="0.25">
      <c r="A54" s="6" t="s">
        <v>3226</v>
      </c>
      <c r="B54" s="6"/>
      <c r="C54" s="380" t="s">
        <v>5445</v>
      </c>
      <c r="D54" s="6" t="s">
        <v>3228</v>
      </c>
      <c r="E54" s="50">
        <v>25</v>
      </c>
      <c r="F54" s="6"/>
      <c r="G54" s="9">
        <v>10</v>
      </c>
      <c r="J54" s="376">
        <f t="shared" si="0"/>
        <v>10</v>
      </c>
    </row>
    <row r="55" spans="1:10" x14ac:dyDescent="0.25">
      <c r="A55" s="6" t="s">
        <v>3224</v>
      </c>
      <c r="B55" s="6"/>
      <c r="C55" s="380" t="s">
        <v>5445</v>
      </c>
      <c r="D55" s="6" t="s">
        <v>3225</v>
      </c>
      <c r="E55" s="50">
        <v>25</v>
      </c>
      <c r="F55" s="6"/>
      <c r="G55" s="9">
        <v>3</v>
      </c>
      <c r="J55" s="376">
        <f t="shared" si="0"/>
        <v>3</v>
      </c>
    </row>
    <row r="56" spans="1:10" x14ac:dyDescent="0.25">
      <c r="A56" s="6" t="s">
        <v>3253</v>
      </c>
      <c r="B56" s="6"/>
      <c r="C56" s="381" t="s">
        <v>5445</v>
      </c>
      <c r="D56" s="228" t="s">
        <v>3254</v>
      </c>
      <c r="E56" s="229">
        <v>10</v>
      </c>
      <c r="F56" s="6">
        <v>2019</v>
      </c>
      <c r="G56" s="9">
        <v>12</v>
      </c>
      <c r="J56" s="376">
        <f t="shared" si="0"/>
        <v>12</v>
      </c>
    </row>
    <row r="57" spans="1:10" x14ac:dyDescent="0.25">
      <c r="A57" s="6"/>
      <c r="B57" s="6"/>
      <c r="C57" s="380" t="s">
        <v>5445</v>
      </c>
      <c r="D57" s="6" t="s">
        <v>3688</v>
      </c>
      <c r="E57" s="50">
        <v>10</v>
      </c>
      <c r="F57" s="6" t="s">
        <v>5448</v>
      </c>
      <c r="G57" s="9">
        <v>1</v>
      </c>
      <c r="J57" s="376">
        <f t="shared" si="0"/>
        <v>1</v>
      </c>
    </row>
    <row r="58" spans="1:10" x14ac:dyDescent="0.25">
      <c r="A58" s="6"/>
      <c r="B58" s="6"/>
      <c r="C58" s="380" t="s">
        <v>5445</v>
      </c>
      <c r="D58" s="6" t="s">
        <v>3259</v>
      </c>
      <c r="E58" s="50">
        <v>15</v>
      </c>
      <c r="F58" s="6"/>
      <c r="G58" s="9">
        <v>3</v>
      </c>
      <c r="J58" s="376">
        <f t="shared" si="0"/>
        <v>3</v>
      </c>
    </row>
    <row r="59" spans="1:10" x14ac:dyDescent="0.25">
      <c r="A59" s="6" t="s">
        <v>3236</v>
      </c>
      <c r="B59" s="6"/>
      <c r="C59" s="380" t="s">
        <v>5445</v>
      </c>
      <c r="D59" s="6" t="s">
        <v>3237</v>
      </c>
      <c r="E59" s="50">
        <v>10</v>
      </c>
      <c r="F59" s="6">
        <v>2018</v>
      </c>
      <c r="G59" s="9">
        <v>18</v>
      </c>
      <c r="H59" t="s">
        <v>5449</v>
      </c>
      <c r="J59" s="376">
        <f t="shared" si="0"/>
        <v>18</v>
      </c>
    </row>
    <row r="60" spans="1:10" x14ac:dyDescent="0.25">
      <c r="A60" s="6" t="s">
        <v>3232</v>
      </c>
      <c r="B60" s="6"/>
      <c r="C60" s="380" t="s">
        <v>5445</v>
      </c>
      <c r="D60" s="6" t="s">
        <v>3233</v>
      </c>
      <c r="E60" s="50">
        <v>25</v>
      </c>
      <c r="F60" s="6">
        <v>2008</v>
      </c>
      <c r="G60" s="9">
        <v>6</v>
      </c>
      <c r="J60" s="376">
        <f t="shared" si="0"/>
        <v>6</v>
      </c>
    </row>
    <row r="61" spans="1:10" x14ac:dyDescent="0.25">
      <c r="A61" s="6" t="s">
        <v>1099</v>
      </c>
      <c r="B61" s="6" t="s">
        <v>29</v>
      </c>
      <c r="C61" s="6" t="s">
        <v>1094</v>
      </c>
      <c r="D61" s="6" t="s">
        <v>1100</v>
      </c>
      <c r="E61" s="50">
        <v>10</v>
      </c>
      <c r="F61" s="6"/>
      <c r="G61" s="9">
        <v>7</v>
      </c>
      <c r="J61" s="376">
        <f t="shared" si="0"/>
        <v>7</v>
      </c>
    </row>
    <row r="62" spans="1:10" x14ac:dyDescent="0.25">
      <c r="A62" s="6" t="s">
        <v>1104</v>
      </c>
      <c r="B62" s="6" t="s">
        <v>29</v>
      </c>
      <c r="C62" s="6" t="s">
        <v>1094</v>
      </c>
      <c r="D62" s="6" t="s">
        <v>1105</v>
      </c>
      <c r="E62" s="50">
        <v>10</v>
      </c>
      <c r="F62" s="6"/>
      <c r="G62" s="9">
        <v>4</v>
      </c>
      <c r="J62" s="376">
        <f t="shared" si="0"/>
        <v>4</v>
      </c>
    </row>
    <row r="63" spans="1:10" x14ac:dyDescent="0.25">
      <c r="A63" s="6" t="s">
        <v>1093</v>
      </c>
      <c r="B63" s="6" t="s">
        <v>29</v>
      </c>
      <c r="C63" s="6" t="s">
        <v>1094</v>
      </c>
      <c r="D63" s="6" t="s">
        <v>1095</v>
      </c>
      <c r="E63" s="50">
        <v>10</v>
      </c>
      <c r="F63" s="6"/>
      <c r="G63" s="9">
        <v>4</v>
      </c>
      <c r="J63" s="376">
        <f t="shared" si="0"/>
        <v>4</v>
      </c>
    </row>
    <row r="64" spans="1:11" x14ac:dyDescent="0.25">
      <c r="A64" s="6" t="s">
        <v>1113</v>
      </c>
      <c r="B64" s="6" t="s">
        <v>29</v>
      </c>
      <c r="C64" s="6" t="s">
        <v>1094</v>
      </c>
      <c r="D64" s="6" t="s">
        <v>1114</v>
      </c>
      <c r="E64" s="50">
        <v>10</v>
      </c>
      <c r="F64" s="6"/>
      <c r="G64" s="9">
        <v>7</v>
      </c>
      <c r="J64" s="376">
        <f t="shared" si="0"/>
        <v>7</v>
      </c>
      <c r="K64" t="s">
        <v>5450</v>
      </c>
    </row>
    <row r="65" spans="1:10" x14ac:dyDescent="0.25">
      <c r="A65" s="6" t="s">
        <v>1118</v>
      </c>
      <c r="B65" s="6" t="s">
        <v>29</v>
      </c>
      <c r="C65" s="6" t="s">
        <v>1094</v>
      </c>
      <c r="D65" s="6" t="s">
        <v>1119</v>
      </c>
      <c r="E65" s="50">
        <v>10</v>
      </c>
      <c r="F65" s="6"/>
      <c r="G65" s="9">
        <v>3</v>
      </c>
      <c r="J65" s="376">
        <f t="shared" si="0"/>
        <v>3</v>
      </c>
    </row>
    <row r="66" spans="1:10" x14ac:dyDescent="0.25">
      <c r="A66" s="6" t="s">
        <v>1110</v>
      </c>
      <c r="B66" s="6" t="s">
        <v>29</v>
      </c>
      <c r="C66" s="6" t="s">
        <v>1094</v>
      </c>
      <c r="D66" s="6" t="s">
        <v>1111</v>
      </c>
      <c r="E66" s="50">
        <v>5</v>
      </c>
      <c r="F66" s="6"/>
      <c r="G66" s="9">
        <v>8</v>
      </c>
      <c r="J66" s="376">
        <f t="shared" si="0"/>
        <v>8</v>
      </c>
    </row>
    <row r="67" spans="1:10" x14ac:dyDescent="0.25">
      <c r="A67" s="6" t="s">
        <v>1122</v>
      </c>
      <c r="B67" s="6" t="s">
        <v>29</v>
      </c>
      <c r="C67" s="6" t="s">
        <v>1094</v>
      </c>
      <c r="D67" s="6" t="s">
        <v>1123</v>
      </c>
      <c r="E67" s="50">
        <v>10</v>
      </c>
      <c r="F67" s="6"/>
      <c r="G67" s="9">
        <v>4</v>
      </c>
      <c r="J67" s="376">
        <f t="shared" si="0"/>
        <v>4</v>
      </c>
    </row>
    <row r="68" spans="1:10" x14ac:dyDescent="0.25">
      <c r="A68" s="133" t="s">
        <v>1379</v>
      </c>
      <c r="B68" s="19" t="s">
        <v>29</v>
      </c>
      <c r="C68" s="17" t="s">
        <v>1128</v>
      </c>
      <c r="D68" s="17" t="s">
        <v>5451</v>
      </c>
      <c r="E68" s="22">
        <v>6</v>
      </c>
      <c r="F68" s="17"/>
      <c r="G68" s="100">
        <v>25</v>
      </c>
      <c r="H68" t="s">
        <v>5452</v>
      </c>
      <c r="J68" s="376">
        <f t="shared" ref="J68:J131" si="1">G68+I68</f>
        <v>25</v>
      </c>
    </row>
    <row r="69" spans="1:10" x14ac:dyDescent="0.25">
      <c r="A69" s="133" t="s">
        <v>1383</v>
      </c>
      <c r="B69" s="19" t="s">
        <v>29</v>
      </c>
      <c r="C69" s="17" t="s">
        <v>1128</v>
      </c>
      <c r="D69" s="17" t="s">
        <v>5453</v>
      </c>
      <c r="E69" s="22">
        <v>6</v>
      </c>
      <c r="F69" s="17"/>
      <c r="G69" s="100">
        <v>35</v>
      </c>
      <c r="H69" t="s">
        <v>5454</v>
      </c>
      <c r="J69" s="376">
        <f t="shared" si="1"/>
        <v>35</v>
      </c>
    </row>
    <row r="70" spans="1:10" x14ac:dyDescent="0.25">
      <c r="A70" s="133" t="s">
        <v>1389</v>
      </c>
      <c r="B70" s="19" t="s">
        <v>29</v>
      </c>
      <c r="C70" s="17" t="s">
        <v>1128</v>
      </c>
      <c r="D70" s="17" t="s">
        <v>5455</v>
      </c>
      <c r="E70" s="22">
        <v>6</v>
      </c>
      <c r="F70" s="17"/>
      <c r="G70" s="100">
        <v>30</v>
      </c>
      <c r="H70" t="s">
        <v>5456</v>
      </c>
      <c r="J70" s="376">
        <f t="shared" si="1"/>
        <v>30</v>
      </c>
    </row>
    <row r="71" spans="1:10" x14ac:dyDescent="0.25">
      <c r="A71" s="133" t="s">
        <v>1371</v>
      </c>
      <c r="B71" s="19" t="s">
        <v>29</v>
      </c>
      <c r="C71" s="17" t="s">
        <v>1128</v>
      </c>
      <c r="D71" s="17" t="s">
        <v>5457</v>
      </c>
      <c r="E71" s="22">
        <v>6</v>
      </c>
      <c r="F71" s="17"/>
      <c r="G71" s="100">
        <v>15</v>
      </c>
      <c r="H71" t="s">
        <v>5458</v>
      </c>
      <c r="J71" s="376">
        <f t="shared" si="1"/>
        <v>15</v>
      </c>
    </row>
    <row r="72" spans="1:10" x14ac:dyDescent="0.25">
      <c r="A72" s="17" t="s">
        <v>1228</v>
      </c>
      <c r="B72" s="19" t="s">
        <v>29</v>
      </c>
      <c r="C72" s="17" t="s">
        <v>1128</v>
      </c>
      <c r="D72" s="17" t="s">
        <v>1229</v>
      </c>
      <c r="E72" s="22">
        <v>10</v>
      </c>
      <c r="F72" s="17"/>
      <c r="G72" s="100">
        <f>9*5</f>
        <v>45</v>
      </c>
      <c r="H72" t="s">
        <v>5459</v>
      </c>
      <c r="J72" s="376">
        <f t="shared" si="1"/>
        <v>45</v>
      </c>
    </row>
    <row r="73" spans="1:10" x14ac:dyDescent="0.25">
      <c r="A73" s="133" t="s">
        <v>1291</v>
      </c>
      <c r="B73" s="19" t="s">
        <v>29</v>
      </c>
      <c r="C73" s="17" t="s">
        <v>1128</v>
      </c>
      <c r="D73" s="17" t="s">
        <v>1292</v>
      </c>
      <c r="E73" s="22">
        <v>10</v>
      </c>
      <c r="F73" s="17"/>
      <c r="G73" s="100">
        <v>90</v>
      </c>
      <c r="H73" t="s">
        <v>5460</v>
      </c>
      <c r="J73" s="376">
        <f t="shared" si="1"/>
        <v>90</v>
      </c>
    </row>
    <row r="74" spans="1:10" x14ac:dyDescent="0.25">
      <c r="A74" s="133" t="s">
        <v>1317</v>
      </c>
      <c r="B74" s="19" t="s">
        <v>29</v>
      </c>
      <c r="C74" s="17" t="s">
        <v>1128</v>
      </c>
      <c r="D74" s="17" t="s">
        <v>1318</v>
      </c>
      <c r="E74" s="22">
        <v>20</v>
      </c>
      <c r="F74" s="17"/>
      <c r="G74" s="100">
        <v>150</v>
      </c>
      <c r="H74" t="s">
        <v>5461</v>
      </c>
      <c r="J74" s="376">
        <f t="shared" si="1"/>
        <v>150</v>
      </c>
    </row>
    <row r="75" spans="1:10" x14ac:dyDescent="0.25">
      <c r="A75" s="133" t="s">
        <v>1274</v>
      </c>
      <c r="B75" s="19" t="s">
        <v>1275</v>
      </c>
      <c r="C75" s="17" t="s">
        <v>1128</v>
      </c>
      <c r="D75" s="17" t="s">
        <v>1276</v>
      </c>
      <c r="E75" s="22">
        <v>10</v>
      </c>
      <c r="F75" s="17"/>
      <c r="G75" s="100">
        <v>30</v>
      </c>
      <c r="H75" t="s">
        <v>5462</v>
      </c>
      <c r="J75" s="376">
        <f t="shared" si="1"/>
        <v>30</v>
      </c>
    </row>
    <row r="76" spans="1:10" x14ac:dyDescent="0.25">
      <c r="A76" s="133" t="s">
        <v>5463</v>
      </c>
      <c r="B76" s="17"/>
      <c r="C76" s="17" t="s">
        <v>1128</v>
      </c>
      <c r="D76" s="17" t="s">
        <v>5464</v>
      </c>
      <c r="E76" s="22">
        <v>25</v>
      </c>
      <c r="F76" s="17"/>
      <c r="G76" s="100">
        <v>2</v>
      </c>
      <c r="J76" s="376">
        <f t="shared" si="1"/>
        <v>2</v>
      </c>
    </row>
    <row r="77" spans="1:10" x14ac:dyDescent="0.25">
      <c r="A77" s="118" t="s">
        <v>1267</v>
      </c>
      <c r="B77" s="17" t="s">
        <v>29</v>
      </c>
      <c r="C77" s="17" t="s">
        <v>1128</v>
      </c>
      <c r="D77" s="17" t="s">
        <v>1268</v>
      </c>
      <c r="E77" s="22">
        <v>25</v>
      </c>
      <c r="F77" s="17"/>
      <c r="G77" s="100">
        <v>5</v>
      </c>
      <c r="J77" s="376">
        <f t="shared" si="1"/>
        <v>5</v>
      </c>
    </row>
    <row r="78" spans="1:10" x14ac:dyDescent="0.25">
      <c r="A78" s="118" t="s">
        <v>1426</v>
      </c>
      <c r="B78" s="17" t="s">
        <v>29</v>
      </c>
      <c r="C78" s="17" t="s">
        <v>1128</v>
      </c>
      <c r="D78" s="17" t="s">
        <v>5465</v>
      </c>
      <c r="E78" s="22">
        <v>20</v>
      </c>
      <c r="F78" s="17"/>
      <c r="G78" s="100">
        <v>3</v>
      </c>
      <c r="J78" s="376">
        <f t="shared" si="1"/>
        <v>3</v>
      </c>
    </row>
    <row r="79" spans="1:10" x14ac:dyDescent="0.25">
      <c r="A79" s="118" t="s">
        <v>1421</v>
      </c>
      <c r="B79" s="17" t="s">
        <v>29</v>
      </c>
      <c r="C79" s="17" t="s">
        <v>1128</v>
      </c>
      <c r="D79" s="17" t="s">
        <v>1422</v>
      </c>
      <c r="E79" s="22">
        <v>20</v>
      </c>
      <c r="F79" s="17"/>
      <c r="G79" s="100">
        <v>7</v>
      </c>
      <c r="J79" s="376">
        <f t="shared" si="1"/>
        <v>7</v>
      </c>
    </row>
    <row r="80" spans="1:10" x14ac:dyDescent="0.25">
      <c r="A80" s="118" t="s">
        <v>1433</v>
      </c>
      <c r="B80" s="17" t="s">
        <v>29</v>
      </c>
      <c r="C80" s="17" t="s">
        <v>1128</v>
      </c>
      <c r="D80" s="17" t="s">
        <v>1434</v>
      </c>
      <c r="E80" s="22">
        <v>20</v>
      </c>
      <c r="F80" s="17"/>
      <c r="G80" s="100">
        <v>6</v>
      </c>
      <c r="J80" s="376">
        <f t="shared" si="1"/>
        <v>6</v>
      </c>
    </row>
    <row r="81" spans="1:10" x14ac:dyDescent="0.25">
      <c r="A81" s="118" t="s">
        <v>1411</v>
      </c>
      <c r="B81" s="17" t="s">
        <v>29</v>
      </c>
      <c r="C81" s="17" t="s">
        <v>1128</v>
      </c>
      <c r="D81" s="17" t="s">
        <v>1412</v>
      </c>
      <c r="E81" s="22">
        <v>20</v>
      </c>
      <c r="F81" s="17"/>
      <c r="G81" s="100">
        <v>6</v>
      </c>
      <c r="H81" t="s">
        <v>5466</v>
      </c>
      <c r="J81" s="376">
        <f t="shared" si="1"/>
        <v>6</v>
      </c>
    </row>
    <row r="82" spans="1:10" x14ac:dyDescent="0.25">
      <c r="A82" s="118" t="s">
        <v>1496</v>
      </c>
      <c r="B82" s="17" t="s">
        <v>29</v>
      </c>
      <c r="C82" s="17" t="s">
        <v>1128</v>
      </c>
      <c r="D82" s="17" t="s">
        <v>5467</v>
      </c>
      <c r="E82" s="22">
        <v>12</v>
      </c>
      <c r="F82" s="17"/>
      <c r="G82" s="100">
        <v>1</v>
      </c>
      <c r="J82" s="376">
        <f t="shared" si="1"/>
        <v>1</v>
      </c>
    </row>
    <row r="83" spans="1:10" x14ac:dyDescent="0.25">
      <c r="A83" s="118" t="s">
        <v>1247</v>
      </c>
      <c r="B83" s="17" t="s">
        <v>29</v>
      </c>
      <c r="C83" s="17" t="s">
        <v>1128</v>
      </c>
      <c r="D83" s="17" t="s">
        <v>1248</v>
      </c>
      <c r="E83" s="22">
        <v>12</v>
      </c>
      <c r="F83" s="17"/>
      <c r="G83" s="100">
        <v>3</v>
      </c>
      <c r="H83">
        <v>105</v>
      </c>
      <c r="J83" s="376">
        <f t="shared" si="1"/>
        <v>3</v>
      </c>
    </row>
    <row r="84" spans="1:10" s="14" customFormat="1" x14ac:dyDescent="0.25">
      <c r="A84" s="17" t="s">
        <v>1150</v>
      </c>
      <c r="B84" s="17" t="s">
        <v>29</v>
      </c>
      <c r="C84" s="17" t="s">
        <v>1128</v>
      </c>
      <c r="D84" s="17" t="s">
        <v>1151</v>
      </c>
      <c r="E84" s="22">
        <v>20</v>
      </c>
      <c r="F84" s="17"/>
      <c r="G84" s="100">
        <v>3</v>
      </c>
      <c r="I84" s="376">
        <f>1+13/20</f>
        <v>1.65</v>
      </c>
      <c r="J84" s="376">
        <f t="shared" si="1"/>
        <v>4.65</v>
      </c>
    </row>
    <row r="85" spans="1:10" s="14" customFormat="1" x14ac:dyDescent="0.25">
      <c r="A85" s="6" t="s">
        <v>1136</v>
      </c>
      <c r="B85" s="6" t="s">
        <v>29</v>
      </c>
      <c r="C85" s="6" t="s">
        <v>1128</v>
      </c>
      <c r="D85" s="6" t="s">
        <v>1137</v>
      </c>
      <c r="E85" s="50">
        <v>4</v>
      </c>
      <c r="F85" s="6"/>
      <c r="G85" s="9">
        <v>8</v>
      </c>
      <c r="I85" s="376"/>
      <c r="J85" s="376">
        <f t="shared" si="1"/>
        <v>8</v>
      </c>
    </row>
    <row r="86" spans="1:10" s="14" customFormat="1" x14ac:dyDescent="0.25">
      <c r="A86" s="6" t="s">
        <v>1127</v>
      </c>
      <c r="B86" s="6" t="s">
        <v>5</v>
      </c>
      <c r="C86" s="6" t="s">
        <v>1128</v>
      </c>
      <c r="D86" s="6" t="s">
        <v>5468</v>
      </c>
      <c r="E86" s="9">
        <v>9</v>
      </c>
      <c r="F86" s="6"/>
      <c r="G86" s="9">
        <v>10</v>
      </c>
      <c r="H86" s="209">
        <v>44329</v>
      </c>
      <c r="I86" s="376"/>
      <c r="J86" s="376">
        <f t="shared" si="1"/>
        <v>10</v>
      </c>
    </row>
    <row r="87" spans="1:10" s="14" customFormat="1" x14ac:dyDescent="0.25">
      <c r="A87" s="6" t="s">
        <v>1367</v>
      </c>
      <c r="B87" s="6" t="s">
        <v>5</v>
      </c>
      <c r="C87" s="6" t="s">
        <v>1128</v>
      </c>
      <c r="D87" s="6" t="s">
        <v>5469</v>
      </c>
      <c r="E87" s="9">
        <v>9</v>
      </c>
      <c r="F87" s="6"/>
      <c r="G87" s="9">
        <v>14</v>
      </c>
      <c r="H87" s="209">
        <v>44329</v>
      </c>
      <c r="I87" s="376"/>
      <c r="J87" s="376">
        <f t="shared" si="1"/>
        <v>14</v>
      </c>
    </row>
    <row r="88" spans="1:10" x14ac:dyDescent="0.25">
      <c r="A88" s="17" t="s">
        <v>5117</v>
      </c>
      <c r="B88" s="17" t="s">
        <v>29</v>
      </c>
      <c r="C88" s="20" t="s">
        <v>1526</v>
      </c>
      <c r="D88" s="17" t="s">
        <v>5118</v>
      </c>
      <c r="E88" s="22">
        <v>24</v>
      </c>
      <c r="F88" s="17"/>
      <c r="G88" s="100">
        <v>1</v>
      </c>
      <c r="I88" s="376">
        <f>1+7/24</f>
        <v>1.2916666666666667</v>
      </c>
      <c r="J88" s="376">
        <f t="shared" si="1"/>
        <v>2.291666666666667</v>
      </c>
    </row>
    <row r="89" spans="1:10" x14ac:dyDescent="0.25">
      <c r="A89" s="17" t="s">
        <v>5110</v>
      </c>
      <c r="B89" s="17" t="s">
        <v>29</v>
      </c>
      <c r="C89" s="20" t="s">
        <v>1526</v>
      </c>
      <c r="D89" s="17" t="s">
        <v>5111</v>
      </c>
      <c r="E89" s="22">
        <v>40</v>
      </c>
      <c r="F89" s="17"/>
      <c r="G89" s="100">
        <v>1</v>
      </c>
      <c r="I89" s="376">
        <f>12/40</f>
        <v>0.3</v>
      </c>
      <c r="J89" s="376">
        <f t="shared" si="1"/>
        <v>1.3</v>
      </c>
    </row>
    <row r="90" spans="1:10" x14ac:dyDescent="0.25">
      <c r="A90" s="17" t="s">
        <v>5106</v>
      </c>
      <c r="B90" s="17" t="s">
        <v>29</v>
      </c>
      <c r="C90" s="20" t="s">
        <v>1526</v>
      </c>
      <c r="D90" s="17" t="s">
        <v>5470</v>
      </c>
      <c r="E90" s="22">
        <v>24</v>
      </c>
      <c r="F90" s="17"/>
      <c r="G90" s="100">
        <v>1</v>
      </c>
      <c r="I90" s="376">
        <f>1+15/24</f>
        <v>1.625</v>
      </c>
      <c r="J90" s="376">
        <f t="shared" si="1"/>
        <v>2.625</v>
      </c>
    </row>
    <row r="91" spans="1:10" x14ac:dyDescent="0.25">
      <c r="A91" s="6" t="s">
        <v>1630</v>
      </c>
      <c r="B91" s="6" t="s">
        <v>29</v>
      </c>
      <c r="C91" s="380" t="s">
        <v>1526</v>
      </c>
      <c r="D91" s="6" t="s">
        <v>1631</v>
      </c>
      <c r="E91" s="50">
        <v>10</v>
      </c>
      <c r="F91" s="6"/>
      <c r="G91" s="9">
        <v>5</v>
      </c>
      <c r="J91" s="376">
        <f t="shared" si="1"/>
        <v>5</v>
      </c>
    </row>
    <row r="92" spans="1:10" x14ac:dyDescent="0.25">
      <c r="A92" s="6" t="s">
        <v>1627</v>
      </c>
      <c r="B92" s="6" t="s">
        <v>29</v>
      </c>
      <c r="C92" s="380" t="s">
        <v>1526</v>
      </c>
      <c r="D92" s="6" t="s">
        <v>1628</v>
      </c>
      <c r="E92" s="50">
        <v>10</v>
      </c>
      <c r="F92" s="6"/>
      <c r="G92" s="9">
        <v>5</v>
      </c>
      <c r="J92" s="376">
        <f t="shared" si="1"/>
        <v>5</v>
      </c>
    </row>
    <row r="93" spans="1:10" x14ac:dyDescent="0.25">
      <c r="A93" s="6" t="s">
        <v>5140</v>
      </c>
      <c r="B93" s="6" t="s">
        <v>29</v>
      </c>
      <c r="C93" s="380" t="s">
        <v>1526</v>
      </c>
      <c r="D93" s="6" t="s">
        <v>5141</v>
      </c>
      <c r="E93" s="50">
        <v>10</v>
      </c>
      <c r="F93" s="6"/>
      <c r="G93" s="9">
        <v>5</v>
      </c>
      <c r="J93" s="376">
        <f t="shared" si="1"/>
        <v>5</v>
      </c>
    </row>
    <row r="94" spans="1:10" x14ac:dyDescent="0.25">
      <c r="A94" s="6" t="s">
        <v>1621</v>
      </c>
      <c r="B94" s="6" t="s">
        <v>29</v>
      </c>
      <c r="C94" s="380" t="s">
        <v>1526</v>
      </c>
      <c r="D94" s="6" t="s">
        <v>1622</v>
      </c>
      <c r="E94" s="50">
        <v>10</v>
      </c>
      <c r="F94" s="6"/>
      <c r="G94" s="9">
        <v>6</v>
      </c>
      <c r="J94" s="376">
        <f t="shared" si="1"/>
        <v>6</v>
      </c>
    </row>
    <row r="95" spans="1:10" x14ac:dyDescent="0.25">
      <c r="A95" s="6" t="s">
        <v>5137</v>
      </c>
      <c r="B95" s="13" t="s">
        <v>29</v>
      </c>
      <c r="C95" s="380" t="s">
        <v>1526</v>
      </c>
      <c r="D95" s="6" t="s">
        <v>5138</v>
      </c>
      <c r="E95" s="50">
        <v>24</v>
      </c>
      <c r="F95" s="6"/>
      <c r="G95" s="9">
        <v>3</v>
      </c>
      <c r="J95" s="376">
        <f t="shared" si="1"/>
        <v>3</v>
      </c>
    </row>
    <row r="96" spans="1:10" x14ac:dyDescent="0.25">
      <c r="A96" s="6" t="s">
        <v>5126</v>
      </c>
      <c r="B96" s="13" t="s">
        <v>29</v>
      </c>
      <c r="C96" s="380" t="s">
        <v>1526</v>
      </c>
      <c r="D96" s="6" t="s">
        <v>5127</v>
      </c>
      <c r="E96" s="50">
        <v>40</v>
      </c>
      <c r="F96" s="6"/>
      <c r="G96" s="9">
        <v>3</v>
      </c>
      <c r="J96" s="376">
        <f t="shared" si="1"/>
        <v>3</v>
      </c>
    </row>
    <row r="97" spans="1:10" x14ac:dyDescent="0.25">
      <c r="A97" s="6" t="s">
        <v>5122</v>
      </c>
      <c r="B97" s="13" t="s">
        <v>29</v>
      </c>
      <c r="C97" s="380" t="s">
        <v>1526</v>
      </c>
      <c r="D97" s="6" t="s">
        <v>5123</v>
      </c>
      <c r="E97" s="50">
        <v>40</v>
      </c>
      <c r="F97" s="6"/>
      <c r="G97" s="9">
        <v>2</v>
      </c>
      <c r="J97" s="376">
        <f t="shared" si="1"/>
        <v>2</v>
      </c>
    </row>
    <row r="98" spans="1:10" x14ac:dyDescent="0.25">
      <c r="A98" s="6" t="s">
        <v>5128</v>
      </c>
      <c r="B98" s="13" t="s">
        <v>29</v>
      </c>
      <c r="C98" s="380" t="s">
        <v>1526</v>
      </c>
      <c r="D98" s="6" t="s">
        <v>5129</v>
      </c>
      <c r="E98" s="50">
        <v>24</v>
      </c>
      <c r="F98" s="6"/>
      <c r="G98" s="9">
        <v>1</v>
      </c>
      <c r="J98" s="376">
        <f t="shared" si="1"/>
        <v>1</v>
      </c>
    </row>
    <row r="99" spans="1:10" x14ac:dyDescent="0.25">
      <c r="A99" s="6" t="s">
        <v>5134</v>
      </c>
      <c r="B99" s="13" t="s">
        <v>29</v>
      </c>
      <c r="C99" s="380" t="s">
        <v>1526</v>
      </c>
      <c r="D99" s="6" t="s">
        <v>5135</v>
      </c>
      <c r="E99" s="50">
        <v>40</v>
      </c>
      <c r="F99" s="6"/>
      <c r="G99" s="9">
        <v>1</v>
      </c>
      <c r="J99" s="376">
        <f t="shared" si="1"/>
        <v>1</v>
      </c>
    </row>
    <row r="100" spans="1:10" x14ac:dyDescent="0.25">
      <c r="A100" s="118" t="s">
        <v>1683</v>
      </c>
      <c r="B100" s="17" t="s">
        <v>29</v>
      </c>
      <c r="C100" s="17" t="s">
        <v>1526</v>
      </c>
      <c r="D100" s="17" t="s">
        <v>5471</v>
      </c>
      <c r="E100" s="22">
        <v>24</v>
      </c>
      <c r="F100" s="17"/>
      <c r="G100" s="100">
        <v>5</v>
      </c>
      <c r="J100" s="376">
        <f t="shared" si="1"/>
        <v>5</v>
      </c>
    </row>
    <row r="101" spans="1:10" x14ac:dyDescent="0.25">
      <c r="A101" s="28" t="s">
        <v>1698</v>
      </c>
      <c r="B101" s="26" t="s">
        <v>29</v>
      </c>
      <c r="C101" s="26" t="s">
        <v>1526</v>
      </c>
      <c r="D101" s="26" t="s">
        <v>1699</v>
      </c>
      <c r="E101" s="31">
        <v>5</v>
      </c>
      <c r="F101" s="26"/>
      <c r="G101" s="56">
        <v>1</v>
      </c>
      <c r="H101" s="4"/>
      <c r="I101" s="382"/>
      <c r="J101" s="376">
        <f t="shared" si="1"/>
        <v>1</v>
      </c>
    </row>
    <row r="102" spans="1:10" x14ac:dyDescent="0.25">
      <c r="A102" s="28" t="s">
        <v>1658</v>
      </c>
      <c r="B102" s="26" t="s">
        <v>29</v>
      </c>
      <c r="C102" s="26" t="s">
        <v>1526</v>
      </c>
      <c r="D102" s="26" t="s">
        <v>1659</v>
      </c>
      <c r="E102" s="31">
        <v>5</v>
      </c>
      <c r="F102" s="26"/>
      <c r="G102" s="56">
        <v>3</v>
      </c>
      <c r="H102" s="4"/>
      <c r="I102" s="382"/>
      <c r="J102" s="376">
        <f t="shared" si="1"/>
        <v>3</v>
      </c>
    </row>
    <row r="103" spans="1:10" x14ac:dyDescent="0.25">
      <c r="A103" s="28" t="s">
        <v>1709</v>
      </c>
      <c r="B103" s="26" t="s">
        <v>29</v>
      </c>
      <c r="C103" s="26" t="s">
        <v>1526</v>
      </c>
      <c r="D103" s="26" t="s">
        <v>1710</v>
      </c>
      <c r="E103" s="31">
        <v>50</v>
      </c>
      <c r="F103" s="26"/>
      <c r="G103" s="56">
        <v>2</v>
      </c>
      <c r="H103" s="4"/>
      <c r="I103" s="382"/>
      <c r="J103" s="376">
        <f t="shared" si="1"/>
        <v>2</v>
      </c>
    </row>
    <row r="104" spans="1:10" x14ac:dyDescent="0.25">
      <c r="A104" s="28" t="s">
        <v>1677</v>
      </c>
      <c r="B104" s="26" t="s">
        <v>29</v>
      </c>
      <c r="C104" s="26" t="s">
        <v>1526</v>
      </c>
      <c r="D104" s="26" t="s">
        <v>1678</v>
      </c>
      <c r="E104" s="31">
        <v>24</v>
      </c>
      <c r="F104" s="26"/>
      <c r="G104" s="56">
        <v>4</v>
      </c>
      <c r="H104" s="4"/>
      <c r="I104" s="382"/>
      <c r="J104" s="376">
        <f t="shared" si="1"/>
        <v>4</v>
      </c>
    </row>
    <row r="105" spans="1:10" x14ac:dyDescent="0.25">
      <c r="A105" s="147" t="s">
        <v>1743</v>
      </c>
      <c r="B105" s="17" t="s">
        <v>29</v>
      </c>
      <c r="C105" s="17" t="s">
        <v>1526</v>
      </c>
      <c r="D105" s="92" t="s">
        <v>5472</v>
      </c>
      <c r="E105" s="94">
        <v>10</v>
      </c>
      <c r="F105" s="92" t="s">
        <v>5473</v>
      </c>
      <c r="G105" s="302">
        <v>30</v>
      </c>
      <c r="H105" s="276" t="s">
        <v>5474</v>
      </c>
      <c r="I105" s="378"/>
      <c r="J105" s="376">
        <f t="shared" si="1"/>
        <v>30</v>
      </c>
    </row>
    <row r="106" spans="1:10" x14ac:dyDescent="0.25">
      <c r="A106" s="147" t="s">
        <v>1073</v>
      </c>
      <c r="B106" s="17" t="s">
        <v>29</v>
      </c>
      <c r="C106" s="17" t="s">
        <v>1526</v>
      </c>
      <c r="D106" s="92" t="s">
        <v>5475</v>
      </c>
      <c r="E106" s="94">
        <v>10</v>
      </c>
      <c r="F106" s="92" t="s">
        <v>5473</v>
      </c>
      <c r="G106" s="302">
        <f>6*5</f>
        <v>30</v>
      </c>
      <c r="H106" s="276" t="s">
        <v>5452</v>
      </c>
      <c r="I106" s="378"/>
      <c r="J106" s="376">
        <f t="shared" si="1"/>
        <v>30</v>
      </c>
    </row>
    <row r="107" spans="1:10" x14ac:dyDescent="0.25">
      <c r="A107" s="147" t="s">
        <v>1735</v>
      </c>
      <c r="B107" s="17" t="s">
        <v>29</v>
      </c>
      <c r="C107" s="17" t="s">
        <v>1526</v>
      </c>
      <c r="D107" s="17" t="s">
        <v>5476</v>
      </c>
      <c r="E107" s="22">
        <v>10</v>
      </c>
      <c r="F107" s="92" t="s">
        <v>5473</v>
      </c>
      <c r="G107" s="100">
        <f>7*5</f>
        <v>35</v>
      </c>
      <c r="H107" t="s">
        <v>5456</v>
      </c>
      <c r="J107" s="376">
        <f t="shared" si="1"/>
        <v>35</v>
      </c>
    </row>
    <row r="108" spans="1:10" x14ac:dyDescent="0.25">
      <c r="A108" s="147" t="s">
        <v>5477</v>
      </c>
      <c r="B108" s="17" t="s">
        <v>29</v>
      </c>
      <c r="C108" s="17" t="s">
        <v>1526</v>
      </c>
      <c r="D108" s="17" t="s">
        <v>5478</v>
      </c>
      <c r="E108" s="22">
        <v>10</v>
      </c>
      <c r="F108" s="17"/>
      <c r="G108" s="100">
        <f>2*5</f>
        <v>10</v>
      </c>
      <c r="H108" t="s">
        <v>5479</v>
      </c>
      <c r="J108" s="376">
        <f t="shared" si="1"/>
        <v>10</v>
      </c>
    </row>
    <row r="109" spans="1:10" x14ac:dyDescent="0.25">
      <c r="A109" s="147" t="s">
        <v>5480</v>
      </c>
      <c r="B109" s="17" t="s">
        <v>29</v>
      </c>
      <c r="C109" s="17" t="s">
        <v>1526</v>
      </c>
      <c r="D109" s="17" t="s">
        <v>5481</v>
      </c>
      <c r="E109" s="22">
        <v>24</v>
      </c>
      <c r="F109" s="17"/>
      <c r="G109" s="100">
        <v>4</v>
      </c>
      <c r="J109" s="376">
        <f t="shared" si="1"/>
        <v>4</v>
      </c>
    </row>
    <row r="110" spans="1:10" x14ac:dyDescent="0.25">
      <c r="A110" s="147" t="s">
        <v>1525</v>
      </c>
      <c r="B110" s="17" t="s">
        <v>29</v>
      </c>
      <c r="C110" s="17" t="s">
        <v>1526</v>
      </c>
      <c r="D110" s="17" t="s">
        <v>5482</v>
      </c>
      <c r="E110" s="22">
        <v>10</v>
      </c>
      <c r="F110" s="17"/>
      <c r="G110" s="100">
        <f>14*5</f>
        <v>70</v>
      </c>
      <c r="H110" t="s">
        <v>5483</v>
      </c>
      <c r="J110" s="376">
        <f t="shared" si="1"/>
        <v>70</v>
      </c>
    </row>
    <row r="111" spans="1:10" x14ac:dyDescent="0.25">
      <c r="A111" s="147" t="s">
        <v>1551</v>
      </c>
      <c r="B111" s="17" t="s">
        <v>29</v>
      </c>
      <c r="C111" s="17" t="s">
        <v>1526</v>
      </c>
      <c r="D111" s="17" t="s">
        <v>1552</v>
      </c>
      <c r="E111" s="22">
        <v>10</v>
      </c>
      <c r="F111" s="17"/>
      <c r="G111" s="100">
        <v>4</v>
      </c>
      <c r="J111" s="376">
        <f t="shared" si="1"/>
        <v>4</v>
      </c>
    </row>
    <row r="112" spans="1:10" x14ac:dyDescent="0.25">
      <c r="A112" s="147" t="s">
        <v>1564</v>
      </c>
      <c r="B112" s="17" t="s">
        <v>29</v>
      </c>
      <c r="C112" s="17" t="s">
        <v>1526</v>
      </c>
      <c r="D112" s="17" t="s">
        <v>5484</v>
      </c>
      <c r="E112" s="22">
        <v>24</v>
      </c>
      <c r="F112" s="17"/>
      <c r="G112" s="100">
        <v>4</v>
      </c>
      <c r="J112" s="376">
        <f t="shared" si="1"/>
        <v>4</v>
      </c>
    </row>
    <row r="113" spans="1:10" x14ac:dyDescent="0.25">
      <c r="A113" s="147" t="s">
        <v>1558</v>
      </c>
      <c r="B113" s="17" t="s">
        <v>29</v>
      </c>
      <c r="C113" s="17" t="s">
        <v>1526</v>
      </c>
      <c r="D113" s="17" t="s">
        <v>1559</v>
      </c>
      <c r="E113" s="22">
        <v>25</v>
      </c>
      <c r="F113" s="17"/>
      <c r="G113" s="100">
        <v>1</v>
      </c>
      <c r="J113" s="376">
        <f t="shared" si="1"/>
        <v>1</v>
      </c>
    </row>
    <row r="114" spans="1:10" x14ac:dyDescent="0.25">
      <c r="A114" s="147" t="s">
        <v>1649</v>
      </c>
      <c r="B114" s="17" t="s">
        <v>29</v>
      </c>
      <c r="C114" s="17" t="s">
        <v>1526</v>
      </c>
      <c r="D114" s="17" t="s">
        <v>5485</v>
      </c>
      <c r="E114" s="22">
        <v>6</v>
      </c>
      <c r="F114" s="17"/>
      <c r="G114" s="100">
        <v>17</v>
      </c>
      <c r="J114" s="376">
        <f t="shared" si="1"/>
        <v>17</v>
      </c>
    </row>
    <row r="115" spans="1:10" x14ac:dyDescent="0.25">
      <c r="A115" s="147" t="s">
        <v>1735</v>
      </c>
      <c r="B115" s="17" t="s">
        <v>29</v>
      </c>
      <c r="C115" s="17" t="s">
        <v>1526</v>
      </c>
      <c r="D115" s="17" t="s">
        <v>5476</v>
      </c>
      <c r="E115" s="22">
        <v>10</v>
      </c>
      <c r="F115" s="17"/>
      <c r="G115" s="100">
        <f>7*5</f>
        <v>35</v>
      </c>
      <c r="H115" t="s">
        <v>5456</v>
      </c>
      <c r="J115" s="376">
        <f t="shared" si="1"/>
        <v>35</v>
      </c>
    </row>
    <row r="116" spans="1:10" x14ac:dyDescent="0.25">
      <c r="A116" s="147" t="s">
        <v>1608</v>
      </c>
      <c r="B116" s="17" t="s">
        <v>29</v>
      </c>
      <c r="C116" s="17" t="s">
        <v>1526</v>
      </c>
      <c r="D116" s="17" t="s">
        <v>5486</v>
      </c>
      <c r="E116" s="22">
        <v>20</v>
      </c>
      <c r="F116" s="17"/>
      <c r="G116" s="100">
        <v>1</v>
      </c>
      <c r="J116" s="376">
        <f t="shared" si="1"/>
        <v>1</v>
      </c>
    </row>
    <row r="117" spans="1:10" x14ac:dyDescent="0.25">
      <c r="A117" s="147" t="s">
        <v>1599</v>
      </c>
      <c r="B117" s="17" t="s">
        <v>29</v>
      </c>
      <c r="C117" s="17" t="s">
        <v>1526</v>
      </c>
      <c r="D117" s="17" t="s">
        <v>5487</v>
      </c>
      <c r="E117" s="22">
        <v>25</v>
      </c>
      <c r="F117" s="17"/>
      <c r="G117" s="100">
        <v>1</v>
      </c>
      <c r="J117" s="376">
        <f t="shared" si="1"/>
        <v>1</v>
      </c>
    </row>
    <row r="118" spans="1:10" x14ac:dyDescent="0.25">
      <c r="A118" s="147" t="s">
        <v>1595</v>
      </c>
      <c r="B118" s="17" t="s">
        <v>29</v>
      </c>
      <c r="C118" s="17" t="s">
        <v>1526</v>
      </c>
      <c r="D118" s="17" t="s">
        <v>5488</v>
      </c>
      <c r="E118" s="22">
        <v>25</v>
      </c>
      <c r="F118" s="17"/>
      <c r="G118" s="100">
        <v>2</v>
      </c>
      <c r="J118" s="376">
        <f t="shared" si="1"/>
        <v>2</v>
      </c>
    </row>
    <row r="119" spans="1:10" x14ac:dyDescent="0.25">
      <c r="A119" s="147" t="s">
        <v>1583</v>
      </c>
      <c r="B119" s="17" t="s">
        <v>29</v>
      </c>
      <c r="C119" s="17" t="s">
        <v>1526</v>
      </c>
      <c r="D119" s="17" t="s">
        <v>5489</v>
      </c>
      <c r="E119" s="22">
        <v>25</v>
      </c>
      <c r="F119" s="17"/>
      <c r="G119" s="100">
        <v>1</v>
      </c>
      <c r="J119" s="376">
        <f t="shared" si="1"/>
        <v>1</v>
      </c>
    </row>
    <row r="120" spans="1:10" x14ac:dyDescent="0.25">
      <c r="A120" s="147" t="s">
        <v>1590</v>
      </c>
      <c r="B120" s="17" t="s">
        <v>29</v>
      </c>
      <c r="C120" s="17" t="s">
        <v>1526</v>
      </c>
      <c r="D120" s="17" t="s">
        <v>5490</v>
      </c>
      <c r="E120" s="22">
        <v>25</v>
      </c>
      <c r="F120" s="17"/>
      <c r="G120" s="100">
        <v>2</v>
      </c>
      <c r="J120" s="376">
        <f t="shared" si="1"/>
        <v>2</v>
      </c>
    </row>
    <row r="121" spans="1:10" x14ac:dyDescent="0.25">
      <c r="A121" s="147" t="s">
        <v>1604</v>
      </c>
      <c r="B121" s="17" t="s">
        <v>29</v>
      </c>
      <c r="C121" s="17" t="s">
        <v>1526</v>
      </c>
      <c r="D121" s="17" t="s">
        <v>5491</v>
      </c>
      <c r="E121" s="22">
        <v>20</v>
      </c>
      <c r="F121" s="17"/>
      <c r="G121" s="100">
        <v>2</v>
      </c>
      <c r="J121" s="376">
        <f t="shared" si="1"/>
        <v>2</v>
      </c>
    </row>
    <row r="122" spans="1:10" x14ac:dyDescent="0.25">
      <c r="A122" s="101" t="s">
        <v>5492</v>
      </c>
      <c r="B122" s="101" t="s">
        <v>29</v>
      </c>
      <c r="C122" s="101" t="s">
        <v>1526</v>
      </c>
      <c r="D122" s="101" t="s">
        <v>1618</v>
      </c>
      <c r="E122" s="168">
        <v>10</v>
      </c>
      <c r="F122" s="101"/>
      <c r="G122" s="168">
        <v>3</v>
      </c>
      <c r="J122" s="376">
        <f t="shared" si="1"/>
        <v>3</v>
      </c>
    </row>
    <row r="123" spans="1:10" x14ac:dyDescent="0.25">
      <c r="A123" s="101" t="s">
        <v>1649</v>
      </c>
      <c r="B123" s="101" t="s">
        <v>29</v>
      </c>
      <c r="C123" s="101" t="s">
        <v>1526</v>
      </c>
      <c r="D123" s="101" t="s">
        <v>5493</v>
      </c>
      <c r="E123" s="168">
        <v>6</v>
      </c>
      <c r="F123" s="101"/>
      <c r="G123" s="168">
        <v>11</v>
      </c>
      <c r="J123" s="376">
        <f t="shared" si="1"/>
        <v>11</v>
      </c>
    </row>
    <row r="124" spans="1:10" x14ac:dyDescent="0.25">
      <c r="A124" s="6" t="s">
        <v>1712</v>
      </c>
      <c r="B124" s="6" t="s">
        <v>29</v>
      </c>
      <c r="C124" s="6" t="s">
        <v>1526</v>
      </c>
      <c r="D124" s="6" t="s">
        <v>1713</v>
      </c>
      <c r="E124" s="9">
        <v>5</v>
      </c>
      <c r="F124" s="6"/>
      <c r="G124" s="9">
        <v>10</v>
      </c>
      <c r="J124" s="376">
        <f t="shared" si="1"/>
        <v>10</v>
      </c>
    </row>
    <row r="125" spans="1:10" x14ac:dyDescent="0.25">
      <c r="A125" s="133" t="s">
        <v>1925</v>
      </c>
      <c r="B125" s="17" t="s">
        <v>29</v>
      </c>
      <c r="C125" s="17" t="s">
        <v>1865</v>
      </c>
      <c r="D125" s="17" t="s">
        <v>5494</v>
      </c>
      <c r="E125" s="22">
        <v>10</v>
      </c>
      <c r="F125" s="17"/>
      <c r="G125" s="100">
        <v>15</v>
      </c>
      <c r="H125" t="s">
        <v>5495</v>
      </c>
      <c r="J125" s="376">
        <f t="shared" si="1"/>
        <v>15</v>
      </c>
    </row>
    <row r="126" spans="1:10" x14ac:dyDescent="0.25">
      <c r="A126" s="133" t="s">
        <v>1929</v>
      </c>
      <c r="B126" s="17" t="s">
        <v>29</v>
      </c>
      <c r="C126" s="17" t="s">
        <v>1865</v>
      </c>
      <c r="D126" s="17" t="s">
        <v>1930</v>
      </c>
      <c r="E126" s="22">
        <v>10</v>
      </c>
      <c r="F126" s="17"/>
      <c r="G126" s="100">
        <v>2</v>
      </c>
      <c r="H126" t="s">
        <v>5496</v>
      </c>
      <c r="J126" s="376">
        <f t="shared" si="1"/>
        <v>2</v>
      </c>
    </row>
    <row r="127" spans="1:10" x14ac:dyDescent="0.25">
      <c r="A127" s="133" t="s">
        <v>1899</v>
      </c>
      <c r="B127" s="17" t="s">
        <v>29</v>
      </c>
      <c r="C127" s="17" t="s">
        <v>1865</v>
      </c>
      <c r="D127" s="17" t="s">
        <v>5497</v>
      </c>
      <c r="E127" s="22">
        <v>10</v>
      </c>
      <c r="F127" s="17"/>
      <c r="G127" s="100">
        <v>8</v>
      </c>
      <c r="J127" s="376">
        <f t="shared" si="1"/>
        <v>8</v>
      </c>
    </row>
    <row r="128" spans="1:10" x14ac:dyDescent="0.25">
      <c r="A128" s="133" t="s">
        <v>1913</v>
      </c>
      <c r="B128" s="17" t="s">
        <v>29</v>
      </c>
      <c r="C128" s="17" t="s">
        <v>1865</v>
      </c>
      <c r="D128" s="17" t="s">
        <v>5498</v>
      </c>
      <c r="E128" s="22">
        <v>10</v>
      </c>
      <c r="F128" s="17"/>
      <c r="G128" s="100">
        <v>5</v>
      </c>
      <c r="J128" s="376">
        <f t="shared" si="1"/>
        <v>5</v>
      </c>
    </row>
    <row r="129" spans="1:10" x14ac:dyDescent="0.25">
      <c r="A129" s="6" t="s">
        <v>1936</v>
      </c>
      <c r="B129" s="6" t="s">
        <v>29</v>
      </c>
      <c r="C129" s="380" t="s">
        <v>1937</v>
      </c>
      <c r="D129" s="6" t="s">
        <v>1075</v>
      </c>
      <c r="E129" s="50">
        <v>20</v>
      </c>
      <c r="F129" s="6"/>
      <c r="G129" s="9">
        <v>1</v>
      </c>
      <c r="J129" s="376">
        <f t="shared" si="1"/>
        <v>1</v>
      </c>
    </row>
    <row r="130" spans="1:10" x14ac:dyDescent="0.25">
      <c r="A130" s="6" t="s">
        <v>1950</v>
      </c>
      <c r="B130" s="6" t="s">
        <v>29</v>
      </c>
      <c r="C130" s="380" t="s">
        <v>1937</v>
      </c>
      <c r="D130" s="6" t="s">
        <v>5499</v>
      </c>
      <c r="E130" s="50">
        <v>25</v>
      </c>
      <c r="F130" s="6"/>
      <c r="G130" s="9">
        <v>7</v>
      </c>
      <c r="J130" s="376">
        <f t="shared" si="1"/>
        <v>7</v>
      </c>
    </row>
    <row r="131" spans="1:10" x14ac:dyDescent="0.25">
      <c r="A131" s="6" t="s">
        <v>1940</v>
      </c>
      <c r="B131" s="6" t="s">
        <v>29</v>
      </c>
      <c r="C131" s="6" t="s">
        <v>1941</v>
      </c>
      <c r="D131" s="6" t="s">
        <v>1942</v>
      </c>
      <c r="E131" s="50">
        <v>20</v>
      </c>
      <c r="F131" s="6"/>
      <c r="G131" s="9">
        <v>1</v>
      </c>
      <c r="J131" s="376">
        <f t="shared" si="1"/>
        <v>1</v>
      </c>
    </row>
    <row r="132" spans="1:10" x14ac:dyDescent="0.25">
      <c r="A132" s="6" t="s">
        <v>5500</v>
      </c>
      <c r="B132" s="6" t="s">
        <v>29</v>
      </c>
      <c r="C132" s="6" t="s">
        <v>5501</v>
      </c>
      <c r="D132" s="6" t="s">
        <v>5502</v>
      </c>
      <c r="E132" s="50">
        <v>20</v>
      </c>
      <c r="F132" s="6"/>
      <c r="G132" s="9">
        <v>2</v>
      </c>
      <c r="J132" s="376">
        <f t="shared" ref="J132:J195" si="2">G132+I132</f>
        <v>2</v>
      </c>
    </row>
    <row r="133" spans="1:10" x14ac:dyDescent="0.25">
      <c r="A133" s="6" t="s">
        <v>1970</v>
      </c>
      <c r="B133" s="6" t="s">
        <v>29</v>
      </c>
      <c r="C133" s="6" t="s">
        <v>1966</v>
      </c>
      <c r="D133" s="6" t="s">
        <v>1971</v>
      </c>
      <c r="E133" s="50">
        <v>25</v>
      </c>
      <c r="F133" s="6"/>
      <c r="G133" s="9">
        <v>2</v>
      </c>
      <c r="J133" s="376">
        <f t="shared" si="2"/>
        <v>2</v>
      </c>
    </row>
    <row r="134" spans="1:10" x14ac:dyDescent="0.25">
      <c r="A134" s="6" t="s">
        <v>2022</v>
      </c>
      <c r="B134" s="6" t="s">
        <v>29</v>
      </c>
      <c r="C134" s="6" t="s">
        <v>2005</v>
      </c>
      <c r="D134" s="6" t="s">
        <v>5503</v>
      </c>
      <c r="E134" s="50">
        <v>20</v>
      </c>
      <c r="F134" s="6"/>
      <c r="G134" s="9">
        <v>4</v>
      </c>
      <c r="J134" s="376">
        <f t="shared" si="2"/>
        <v>4</v>
      </c>
    </row>
    <row r="135" spans="1:10" x14ac:dyDescent="0.25">
      <c r="A135" s="6" t="s">
        <v>2004</v>
      </c>
      <c r="B135" s="6" t="s">
        <v>29</v>
      </c>
      <c r="C135" s="6" t="s">
        <v>2005</v>
      </c>
      <c r="D135" s="6" t="s">
        <v>5504</v>
      </c>
      <c r="E135" s="50">
        <v>5</v>
      </c>
      <c r="F135" s="6"/>
      <c r="G135" s="9">
        <v>14</v>
      </c>
      <c r="J135" s="376">
        <f t="shared" si="2"/>
        <v>14</v>
      </c>
    </row>
    <row r="136" spans="1:10" x14ac:dyDescent="0.25">
      <c r="A136" s="6" t="s">
        <v>2010</v>
      </c>
      <c r="B136" s="6" t="s">
        <v>29</v>
      </c>
      <c r="C136" s="6" t="s">
        <v>2005</v>
      </c>
      <c r="D136" s="6" t="s">
        <v>5505</v>
      </c>
      <c r="E136" s="50">
        <v>5</v>
      </c>
      <c r="F136" s="6"/>
      <c r="G136" s="9">
        <v>3</v>
      </c>
      <c r="J136" s="376">
        <f t="shared" si="2"/>
        <v>3</v>
      </c>
    </row>
    <row r="137" spans="1:10" x14ac:dyDescent="0.25">
      <c r="A137" s="101" t="s">
        <v>2010</v>
      </c>
      <c r="B137" s="101" t="s">
        <v>29</v>
      </c>
      <c r="C137" s="101" t="s">
        <v>2011</v>
      </c>
      <c r="D137" s="101" t="s">
        <v>2012</v>
      </c>
      <c r="E137" s="168">
        <v>5</v>
      </c>
      <c r="F137" s="101"/>
      <c r="G137" s="168">
        <v>10</v>
      </c>
      <c r="J137" s="376">
        <f t="shared" si="2"/>
        <v>10</v>
      </c>
    </row>
    <row r="138" spans="1:10" x14ac:dyDescent="0.25">
      <c r="A138" s="6" t="s">
        <v>2084</v>
      </c>
      <c r="B138" s="6" t="s">
        <v>29</v>
      </c>
      <c r="C138" s="6" t="s">
        <v>2065</v>
      </c>
      <c r="D138" s="6" t="s">
        <v>2085</v>
      </c>
      <c r="E138" s="50">
        <v>4</v>
      </c>
      <c r="F138" s="6"/>
      <c r="G138" s="9">
        <v>30</v>
      </c>
      <c r="J138" s="376">
        <f t="shared" si="2"/>
        <v>30</v>
      </c>
    </row>
    <row r="139" spans="1:10" x14ac:dyDescent="0.25">
      <c r="A139" s="6" t="s">
        <v>2064</v>
      </c>
      <c r="B139" s="6" t="s">
        <v>29</v>
      </c>
      <c r="C139" s="6" t="s">
        <v>2065</v>
      </c>
      <c r="D139" s="6" t="s">
        <v>5506</v>
      </c>
      <c r="E139" s="50">
        <v>8</v>
      </c>
      <c r="F139" s="6"/>
      <c r="G139" s="9">
        <v>9</v>
      </c>
      <c r="J139" s="376">
        <f t="shared" si="2"/>
        <v>9</v>
      </c>
    </row>
    <row r="140" spans="1:10" x14ac:dyDescent="0.25">
      <c r="A140" s="6" t="s">
        <v>2080</v>
      </c>
      <c r="B140" s="6" t="s">
        <v>29</v>
      </c>
      <c r="C140" s="6" t="s">
        <v>2065</v>
      </c>
      <c r="D140" s="6" t="s">
        <v>2081</v>
      </c>
      <c r="E140" s="50">
        <v>4</v>
      </c>
      <c r="F140" s="6"/>
      <c r="G140" s="9">
        <v>20</v>
      </c>
      <c r="J140" s="376">
        <f t="shared" si="2"/>
        <v>20</v>
      </c>
    </row>
    <row r="141" spans="1:10" x14ac:dyDescent="0.25">
      <c r="A141" s="6" t="s">
        <v>3463</v>
      </c>
      <c r="B141" s="6"/>
      <c r="C141" s="29" t="s">
        <v>5507</v>
      </c>
      <c r="D141" s="6" t="s">
        <v>5508</v>
      </c>
      <c r="E141" s="50">
        <v>10</v>
      </c>
      <c r="F141" s="6"/>
      <c r="G141" s="9">
        <v>7</v>
      </c>
      <c r="J141" s="376">
        <f t="shared" si="2"/>
        <v>7</v>
      </c>
    </row>
    <row r="142" spans="1:10" x14ac:dyDescent="0.25">
      <c r="A142" s="6" t="s">
        <v>2353</v>
      </c>
      <c r="B142" s="13" t="s">
        <v>29</v>
      </c>
      <c r="C142" s="380" t="s">
        <v>2272</v>
      </c>
      <c r="D142" s="6" t="s">
        <v>2354</v>
      </c>
      <c r="E142" s="50">
        <v>20</v>
      </c>
      <c r="F142" s="6"/>
      <c r="G142" s="9">
        <v>3</v>
      </c>
      <c r="J142" s="376">
        <f t="shared" si="2"/>
        <v>3</v>
      </c>
    </row>
    <row r="143" spans="1:10" x14ac:dyDescent="0.25">
      <c r="A143" s="6" t="s">
        <v>2379</v>
      </c>
      <c r="B143" s="13" t="s">
        <v>29</v>
      </c>
      <c r="C143" s="380" t="s">
        <v>2272</v>
      </c>
      <c r="D143" s="6" t="s">
        <v>5509</v>
      </c>
      <c r="E143" s="50">
        <v>23</v>
      </c>
      <c r="F143" s="6"/>
      <c r="G143" s="9">
        <v>2</v>
      </c>
      <c r="J143" s="376">
        <f t="shared" si="2"/>
        <v>2</v>
      </c>
    </row>
    <row r="144" spans="1:10" x14ac:dyDescent="0.25">
      <c r="A144" s="6" t="s">
        <v>2287</v>
      </c>
      <c r="B144" s="13" t="s">
        <v>29</v>
      </c>
      <c r="C144" s="380" t="s">
        <v>2272</v>
      </c>
      <c r="D144" s="6" t="s">
        <v>2288</v>
      </c>
      <c r="E144" s="50">
        <v>20</v>
      </c>
      <c r="F144" s="6"/>
      <c r="G144" s="9">
        <v>4</v>
      </c>
      <c r="J144" s="376">
        <f t="shared" si="2"/>
        <v>4</v>
      </c>
    </row>
    <row r="145" spans="1:10" x14ac:dyDescent="0.25">
      <c r="A145" s="6" t="s">
        <v>2278</v>
      </c>
      <c r="B145" s="13" t="s">
        <v>29</v>
      </c>
      <c r="C145" s="380" t="s">
        <v>2272</v>
      </c>
      <c r="D145" s="6" t="s">
        <v>2279</v>
      </c>
      <c r="E145" s="50">
        <v>20</v>
      </c>
      <c r="F145" s="6"/>
      <c r="G145" s="9">
        <v>1</v>
      </c>
      <c r="J145" s="376">
        <f t="shared" si="2"/>
        <v>1</v>
      </c>
    </row>
    <row r="146" spans="1:10" x14ac:dyDescent="0.25">
      <c r="A146" s="6" t="s">
        <v>2346</v>
      </c>
      <c r="B146" s="13" t="s">
        <v>29</v>
      </c>
      <c r="C146" s="380" t="s">
        <v>2272</v>
      </c>
      <c r="D146" s="6" t="s">
        <v>2347</v>
      </c>
      <c r="E146" s="50">
        <v>20</v>
      </c>
      <c r="F146" s="6"/>
      <c r="G146" s="9">
        <v>5</v>
      </c>
      <c r="J146" s="376">
        <f t="shared" si="2"/>
        <v>5</v>
      </c>
    </row>
    <row r="147" spans="1:10" x14ac:dyDescent="0.25">
      <c r="A147" s="6" t="s">
        <v>2966</v>
      </c>
      <c r="B147" s="13" t="s">
        <v>29</v>
      </c>
      <c r="C147" s="380" t="s">
        <v>2272</v>
      </c>
      <c r="D147" s="6" t="s">
        <v>5510</v>
      </c>
      <c r="E147" s="50">
        <v>50</v>
      </c>
      <c r="F147" s="6"/>
      <c r="G147" s="9">
        <v>1</v>
      </c>
      <c r="J147" s="376">
        <f t="shared" si="2"/>
        <v>1</v>
      </c>
    </row>
    <row r="148" spans="1:10" x14ac:dyDescent="0.25">
      <c r="A148" s="6" t="s">
        <v>2962</v>
      </c>
      <c r="B148" s="13" t="s">
        <v>29</v>
      </c>
      <c r="C148" s="380" t="s">
        <v>2272</v>
      </c>
      <c r="D148" s="6" t="s">
        <v>2963</v>
      </c>
      <c r="E148" s="50">
        <v>50</v>
      </c>
      <c r="F148" s="6"/>
      <c r="G148" s="9">
        <v>1</v>
      </c>
      <c r="J148" s="376">
        <f t="shared" si="2"/>
        <v>1</v>
      </c>
    </row>
    <row r="149" spans="1:10" x14ac:dyDescent="0.25">
      <c r="A149" s="6" t="s">
        <v>2324</v>
      </c>
      <c r="B149" s="13" t="s">
        <v>29</v>
      </c>
      <c r="C149" s="380" t="s">
        <v>2272</v>
      </c>
      <c r="D149" s="6" t="s">
        <v>5511</v>
      </c>
      <c r="E149" s="50">
        <v>23</v>
      </c>
      <c r="F149" s="6"/>
      <c r="G149" s="9">
        <v>14</v>
      </c>
      <c r="J149" s="376">
        <f t="shared" si="2"/>
        <v>14</v>
      </c>
    </row>
    <row r="150" spans="1:10" x14ac:dyDescent="0.25">
      <c r="A150" s="6" t="s">
        <v>2290</v>
      </c>
      <c r="B150" s="13" t="s">
        <v>29</v>
      </c>
      <c r="C150" s="380" t="s">
        <v>2272</v>
      </c>
      <c r="D150" s="6" t="s">
        <v>2315</v>
      </c>
      <c r="E150" s="50">
        <v>23</v>
      </c>
      <c r="F150" s="6"/>
      <c r="G150" s="9">
        <v>6</v>
      </c>
      <c r="J150" s="376">
        <f t="shared" si="2"/>
        <v>6</v>
      </c>
    </row>
    <row r="151" spans="1:10" x14ac:dyDescent="0.25">
      <c r="A151" s="6" t="s">
        <v>2369</v>
      </c>
      <c r="B151" s="6" t="s">
        <v>29</v>
      </c>
      <c r="C151" s="6" t="s">
        <v>2272</v>
      </c>
      <c r="D151" s="6" t="s">
        <v>2370</v>
      </c>
      <c r="E151" s="50">
        <v>5</v>
      </c>
      <c r="F151" s="6"/>
      <c r="G151" s="9">
        <v>9</v>
      </c>
      <c r="J151" s="376">
        <f t="shared" si="2"/>
        <v>9</v>
      </c>
    </row>
    <row r="152" spans="1:10" x14ac:dyDescent="0.25">
      <c r="A152" s="6" t="s">
        <v>2365</v>
      </c>
      <c r="B152" s="6" t="s">
        <v>29</v>
      </c>
      <c r="C152" s="6" t="s">
        <v>2272</v>
      </c>
      <c r="D152" s="6" t="s">
        <v>2366</v>
      </c>
      <c r="E152" s="50">
        <v>5</v>
      </c>
      <c r="F152" s="6"/>
      <c r="G152" s="9">
        <v>2</v>
      </c>
      <c r="J152" s="376">
        <f t="shared" si="2"/>
        <v>2</v>
      </c>
    </row>
    <row r="153" spans="1:10" x14ac:dyDescent="0.25">
      <c r="A153" s="6" t="s">
        <v>2333</v>
      </c>
      <c r="B153" s="6" t="s">
        <v>29</v>
      </c>
      <c r="C153" s="6" t="s">
        <v>2272</v>
      </c>
      <c r="D153" s="6" t="s">
        <v>5512</v>
      </c>
      <c r="E153" s="50">
        <v>6</v>
      </c>
      <c r="F153" s="6"/>
      <c r="G153" s="9">
        <v>9</v>
      </c>
      <c r="J153" s="376">
        <f t="shared" si="2"/>
        <v>9</v>
      </c>
    </row>
    <row r="154" spans="1:10" x14ac:dyDescent="0.25">
      <c r="A154" s="55" t="s">
        <v>2290</v>
      </c>
      <c r="B154" s="101" t="s">
        <v>29</v>
      </c>
      <c r="C154" s="101" t="s">
        <v>2272</v>
      </c>
      <c r="D154" s="101" t="s">
        <v>5513</v>
      </c>
      <c r="E154" s="168">
        <v>20</v>
      </c>
      <c r="F154" s="101"/>
      <c r="G154" s="168">
        <v>3</v>
      </c>
      <c r="J154" s="376">
        <f t="shared" si="2"/>
        <v>3</v>
      </c>
    </row>
    <row r="155" spans="1:10" x14ac:dyDescent="0.25">
      <c r="A155" s="6" t="s">
        <v>2382</v>
      </c>
      <c r="B155" s="6" t="s">
        <v>29</v>
      </c>
      <c r="C155" s="6" t="s">
        <v>2383</v>
      </c>
      <c r="D155" s="6" t="s">
        <v>2384</v>
      </c>
      <c r="E155" s="50">
        <v>20</v>
      </c>
      <c r="F155" s="6"/>
      <c r="G155" s="9">
        <v>2</v>
      </c>
      <c r="J155" s="376">
        <f t="shared" si="2"/>
        <v>2</v>
      </c>
    </row>
    <row r="156" spans="1:10" x14ac:dyDescent="0.25">
      <c r="A156" s="6" t="s">
        <v>2444</v>
      </c>
      <c r="B156" s="6" t="s">
        <v>29</v>
      </c>
      <c r="C156" s="6" t="s">
        <v>2403</v>
      </c>
      <c r="D156" s="6" t="s">
        <v>2445</v>
      </c>
      <c r="E156" s="50">
        <v>5</v>
      </c>
      <c r="F156" s="6"/>
      <c r="G156" s="9">
        <v>10</v>
      </c>
      <c r="J156" s="376">
        <f t="shared" si="2"/>
        <v>10</v>
      </c>
    </row>
    <row r="157" spans="1:10" x14ac:dyDescent="0.25">
      <c r="A157" s="6" t="s">
        <v>5514</v>
      </c>
      <c r="B157" s="6" t="s">
        <v>29</v>
      </c>
      <c r="C157" s="6" t="s">
        <v>2403</v>
      </c>
      <c r="D157" s="6" t="s">
        <v>2475</v>
      </c>
      <c r="E157" s="50">
        <v>6</v>
      </c>
      <c r="F157" s="6"/>
      <c r="G157" s="9">
        <v>3</v>
      </c>
      <c r="J157" s="376">
        <f t="shared" si="2"/>
        <v>3</v>
      </c>
    </row>
    <row r="158" spans="1:10" x14ac:dyDescent="0.25">
      <c r="A158" s="6" t="s">
        <v>2439</v>
      </c>
      <c r="B158" s="6" t="s">
        <v>29</v>
      </c>
      <c r="C158" s="6" t="s">
        <v>2403</v>
      </c>
      <c r="D158" s="6" t="s">
        <v>2440</v>
      </c>
      <c r="E158" s="50">
        <v>4</v>
      </c>
      <c r="F158" s="6"/>
      <c r="G158" s="9">
        <v>11</v>
      </c>
      <c r="J158" s="376">
        <f t="shared" si="2"/>
        <v>11</v>
      </c>
    </row>
    <row r="159" spans="1:10" x14ac:dyDescent="0.25">
      <c r="A159" s="55" t="s">
        <v>2470</v>
      </c>
      <c r="B159" s="101" t="s">
        <v>29</v>
      </c>
      <c r="C159" s="101" t="s">
        <v>5515</v>
      </c>
      <c r="D159" s="101" t="s">
        <v>2471</v>
      </c>
      <c r="E159" s="168">
        <v>30</v>
      </c>
      <c r="F159" s="101"/>
      <c r="G159" s="168">
        <v>2</v>
      </c>
      <c r="J159" s="376">
        <f t="shared" si="2"/>
        <v>2</v>
      </c>
    </row>
    <row r="160" spans="1:10" x14ac:dyDescent="0.25">
      <c r="A160" s="6" t="s">
        <v>2613</v>
      </c>
      <c r="B160" s="6" t="s">
        <v>29</v>
      </c>
      <c r="C160" s="6" t="s">
        <v>2579</v>
      </c>
      <c r="D160" s="6" t="s">
        <v>2614</v>
      </c>
      <c r="E160" s="50">
        <v>24</v>
      </c>
      <c r="F160" s="6"/>
      <c r="G160" s="9">
        <v>3</v>
      </c>
      <c r="J160" s="376">
        <f t="shared" si="2"/>
        <v>3</v>
      </c>
    </row>
    <row r="161" spans="1:10" x14ac:dyDescent="0.25">
      <c r="A161" s="6" t="s">
        <v>2610</v>
      </c>
      <c r="B161" s="6" t="s">
        <v>29</v>
      </c>
      <c r="C161" s="6" t="s">
        <v>2579</v>
      </c>
      <c r="D161" s="6" t="s">
        <v>2611</v>
      </c>
      <c r="E161" s="50">
        <v>24</v>
      </c>
      <c r="F161" s="6"/>
      <c r="G161" s="9">
        <v>2</v>
      </c>
      <c r="J161" s="376">
        <f t="shared" si="2"/>
        <v>2</v>
      </c>
    </row>
    <row r="162" spans="1:10" x14ac:dyDescent="0.25">
      <c r="A162" s="6" t="s">
        <v>2617</v>
      </c>
      <c r="B162" s="6" t="s">
        <v>29</v>
      </c>
      <c r="C162" s="6" t="s">
        <v>2579</v>
      </c>
      <c r="D162" s="6" t="s">
        <v>2618</v>
      </c>
      <c r="E162" s="50">
        <v>24</v>
      </c>
      <c r="F162" s="6"/>
      <c r="G162" s="9">
        <v>5</v>
      </c>
      <c r="J162" s="376">
        <f t="shared" si="2"/>
        <v>5</v>
      </c>
    </row>
    <row r="163" spans="1:10" x14ac:dyDescent="0.25">
      <c r="A163" s="6" t="s">
        <v>2585</v>
      </c>
      <c r="B163" s="6" t="s">
        <v>29</v>
      </c>
      <c r="C163" s="6" t="s">
        <v>2579</v>
      </c>
      <c r="D163" s="6" t="s">
        <v>5516</v>
      </c>
      <c r="E163" s="50">
        <v>24</v>
      </c>
      <c r="F163" s="6"/>
      <c r="G163" s="9">
        <v>9</v>
      </c>
      <c r="J163" s="376">
        <f t="shared" si="2"/>
        <v>9</v>
      </c>
    </row>
    <row r="164" spans="1:10" x14ac:dyDescent="0.25">
      <c r="A164" s="6" t="s">
        <v>2589</v>
      </c>
      <c r="B164" s="6" t="s">
        <v>29</v>
      </c>
      <c r="C164" s="6" t="s">
        <v>2579</v>
      </c>
      <c r="D164" s="6" t="s">
        <v>5517</v>
      </c>
      <c r="E164" s="50">
        <v>24</v>
      </c>
      <c r="F164" s="6"/>
      <c r="G164" s="9">
        <v>8</v>
      </c>
      <c r="J164" s="376">
        <f t="shared" si="2"/>
        <v>8</v>
      </c>
    </row>
    <row r="165" spans="1:10" x14ac:dyDescent="0.25">
      <c r="A165" s="6" t="s">
        <v>5518</v>
      </c>
      <c r="B165" s="6" t="s">
        <v>29</v>
      </c>
      <c r="C165" s="6" t="s">
        <v>2579</v>
      </c>
      <c r="D165" s="6" t="s">
        <v>5519</v>
      </c>
      <c r="E165" s="50">
        <v>24</v>
      </c>
      <c r="F165" s="6"/>
      <c r="G165" s="9">
        <v>2</v>
      </c>
      <c r="J165" s="376">
        <f t="shared" si="2"/>
        <v>2</v>
      </c>
    </row>
    <row r="166" spans="1:10" x14ac:dyDescent="0.25">
      <c r="A166" s="6" t="s">
        <v>2685</v>
      </c>
      <c r="B166" s="6" t="s">
        <v>29</v>
      </c>
      <c r="C166" s="6" t="s">
        <v>2579</v>
      </c>
      <c r="D166" s="6" t="s">
        <v>5520</v>
      </c>
      <c r="E166" s="50">
        <v>24</v>
      </c>
      <c r="F166" s="6"/>
      <c r="G166" s="9">
        <v>10</v>
      </c>
      <c r="J166" s="376">
        <f t="shared" si="2"/>
        <v>10</v>
      </c>
    </row>
    <row r="167" spans="1:10" x14ac:dyDescent="0.25">
      <c r="A167" s="6" t="s">
        <v>2743</v>
      </c>
      <c r="B167" s="6" t="s">
        <v>29</v>
      </c>
      <c r="C167" s="380" t="s">
        <v>2696</v>
      </c>
      <c r="D167" s="6" t="s">
        <v>2744</v>
      </c>
      <c r="E167" s="50">
        <v>10</v>
      </c>
      <c r="F167" s="6"/>
      <c r="G167" s="9">
        <v>27</v>
      </c>
      <c r="J167" s="376">
        <f t="shared" si="2"/>
        <v>27</v>
      </c>
    </row>
    <row r="168" spans="1:10" x14ac:dyDescent="0.25">
      <c r="A168" s="6" t="s">
        <v>2730</v>
      </c>
      <c r="B168" s="6" t="s">
        <v>29</v>
      </c>
      <c r="C168" s="380" t="s">
        <v>2696</v>
      </c>
      <c r="D168" s="6" t="s">
        <v>2731</v>
      </c>
      <c r="E168" s="50">
        <v>10</v>
      </c>
      <c r="F168" s="6"/>
      <c r="G168" s="9">
        <v>0</v>
      </c>
      <c r="J168" s="376">
        <f t="shared" si="2"/>
        <v>0</v>
      </c>
    </row>
    <row r="169" spans="1:10" x14ac:dyDescent="0.25">
      <c r="A169" s="6" t="s">
        <v>2716</v>
      </c>
      <c r="B169" s="13" t="s">
        <v>29</v>
      </c>
      <c r="C169" s="380" t="s">
        <v>2696</v>
      </c>
      <c r="D169" s="6" t="s">
        <v>2717</v>
      </c>
      <c r="E169" s="50">
        <v>10</v>
      </c>
      <c r="F169" s="6"/>
      <c r="G169" s="9">
        <v>9</v>
      </c>
      <c r="H169">
        <f>SUM(G145:G169)</f>
        <v>154</v>
      </c>
      <c r="J169" s="376">
        <f t="shared" si="2"/>
        <v>9</v>
      </c>
    </row>
    <row r="170" spans="1:10" x14ac:dyDescent="0.25">
      <c r="A170" s="6" t="s">
        <v>2756</v>
      </c>
      <c r="B170" s="6" t="s">
        <v>29</v>
      </c>
      <c r="C170" s="6" t="s">
        <v>2748</v>
      </c>
      <c r="D170" s="6" t="s">
        <v>5521</v>
      </c>
      <c r="E170" s="50">
        <v>20</v>
      </c>
      <c r="F170" s="6"/>
      <c r="G170" s="9">
        <v>21</v>
      </c>
      <c r="J170" s="376">
        <f t="shared" si="2"/>
        <v>21</v>
      </c>
    </row>
    <row r="171" spans="1:10" x14ac:dyDescent="0.25">
      <c r="A171" s="6" t="s">
        <v>2868</v>
      </c>
      <c r="B171" s="6" t="s">
        <v>29</v>
      </c>
      <c r="C171" s="6" t="s">
        <v>2748</v>
      </c>
      <c r="D171" s="6" t="s">
        <v>2869</v>
      </c>
      <c r="E171" s="50">
        <v>20</v>
      </c>
      <c r="F171" s="6"/>
      <c r="G171" s="9">
        <v>5</v>
      </c>
      <c r="J171" s="376">
        <f t="shared" si="2"/>
        <v>5</v>
      </c>
    </row>
    <row r="172" spans="1:10" x14ac:dyDescent="0.25">
      <c r="A172" s="6" t="s">
        <v>2747</v>
      </c>
      <c r="B172" s="6" t="s">
        <v>29</v>
      </c>
      <c r="C172" s="6" t="s">
        <v>2748</v>
      </c>
      <c r="D172" s="6" t="s">
        <v>5522</v>
      </c>
      <c r="E172" s="50">
        <v>20</v>
      </c>
      <c r="F172" s="6"/>
      <c r="G172" s="9">
        <v>11</v>
      </c>
      <c r="J172" s="376">
        <f t="shared" si="2"/>
        <v>11</v>
      </c>
    </row>
    <row r="173" spans="1:10" x14ac:dyDescent="0.25">
      <c r="A173" s="6" t="s">
        <v>2910</v>
      </c>
      <c r="B173" s="6" t="s">
        <v>29</v>
      </c>
      <c r="C173" s="6" t="s">
        <v>2748</v>
      </c>
      <c r="D173" s="6" t="s">
        <v>2911</v>
      </c>
      <c r="E173" s="50">
        <v>10</v>
      </c>
      <c r="F173" s="6"/>
      <c r="G173" s="9">
        <v>10</v>
      </c>
      <c r="J173" s="376">
        <f t="shared" si="2"/>
        <v>10</v>
      </c>
    </row>
    <row r="174" spans="1:10" x14ac:dyDescent="0.25">
      <c r="A174" s="6" t="s">
        <v>2913</v>
      </c>
      <c r="B174" s="6" t="s">
        <v>29</v>
      </c>
      <c r="C174" s="6" t="s">
        <v>2748</v>
      </c>
      <c r="D174" s="6" t="s">
        <v>5523</v>
      </c>
      <c r="E174" s="50">
        <v>10</v>
      </c>
      <c r="F174" s="6"/>
      <c r="G174" s="9">
        <v>10</v>
      </c>
      <c r="J174" s="376">
        <f t="shared" si="2"/>
        <v>10</v>
      </c>
    </row>
    <row r="175" spans="1:10" x14ac:dyDescent="0.25">
      <c r="A175" s="6" t="s">
        <v>2874</v>
      </c>
      <c r="B175" s="6" t="s">
        <v>29</v>
      </c>
      <c r="C175" s="6" t="s">
        <v>2748</v>
      </c>
      <c r="D175" s="6" t="s">
        <v>2875</v>
      </c>
      <c r="E175" s="50">
        <v>20</v>
      </c>
      <c r="F175" s="6"/>
      <c r="G175" s="9">
        <v>5</v>
      </c>
      <c r="J175" s="376">
        <f t="shared" si="2"/>
        <v>5</v>
      </c>
    </row>
    <row r="176" spans="1:10" x14ac:dyDescent="0.25">
      <c r="A176" s="6" t="s">
        <v>2870</v>
      </c>
      <c r="B176" s="6" t="s">
        <v>29</v>
      </c>
      <c r="C176" s="6" t="s">
        <v>2748</v>
      </c>
      <c r="D176" s="6" t="s">
        <v>2871</v>
      </c>
      <c r="E176" s="50">
        <v>20</v>
      </c>
      <c r="F176" s="6"/>
      <c r="G176" s="9">
        <v>7</v>
      </c>
      <c r="J176" s="376">
        <f t="shared" si="2"/>
        <v>7</v>
      </c>
    </row>
    <row r="177" spans="1:10" x14ac:dyDescent="0.25">
      <c r="A177" s="6" t="s">
        <v>2777</v>
      </c>
      <c r="B177" s="6" t="s">
        <v>29</v>
      </c>
      <c r="C177" s="6" t="s">
        <v>2748</v>
      </c>
      <c r="D177" s="6" t="s">
        <v>2778</v>
      </c>
      <c r="E177" s="50">
        <v>20</v>
      </c>
      <c r="F177" s="6"/>
      <c r="G177" s="9">
        <v>14</v>
      </c>
      <c r="J177" s="376">
        <f t="shared" si="2"/>
        <v>14</v>
      </c>
    </row>
    <row r="178" spans="1:10" x14ac:dyDescent="0.25">
      <c r="A178" s="6" t="s">
        <v>2798</v>
      </c>
      <c r="B178" s="6" t="s">
        <v>29</v>
      </c>
      <c r="C178" s="6" t="s">
        <v>2748</v>
      </c>
      <c r="D178" s="6" t="s">
        <v>2799</v>
      </c>
      <c r="E178" s="50">
        <v>5</v>
      </c>
      <c r="F178" s="6"/>
      <c r="G178" s="9">
        <v>70</v>
      </c>
      <c r="H178" t="s">
        <v>5524</v>
      </c>
      <c r="J178" s="376">
        <f t="shared" si="2"/>
        <v>70</v>
      </c>
    </row>
    <row r="179" spans="1:10" x14ac:dyDescent="0.25">
      <c r="A179" s="6" t="s">
        <v>2771</v>
      </c>
      <c r="B179" s="6" t="s">
        <v>29</v>
      </c>
      <c r="C179" s="6" t="s">
        <v>2748</v>
      </c>
      <c r="D179" s="6" t="s">
        <v>2772</v>
      </c>
      <c r="E179" s="50">
        <v>20</v>
      </c>
      <c r="F179" s="6"/>
      <c r="G179" s="9">
        <v>23</v>
      </c>
      <c r="J179" s="376">
        <f t="shared" si="2"/>
        <v>23</v>
      </c>
    </row>
    <row r="180" spans="1:10" x14ac:dyDescent="0.25">
      <c r="A180" s="6" t="s">
        <v>2773</v>
      </c>
      <c r="B180" s="6" t="s">
        <v>29</v>
      </c>
      <c r="C180" s="6" t="s">
        <v>2748</v>
      </c>
      <c r="D180" s="6" t="s">
        <v>2774</v>
      </c>
      <c r="E180" s="50">
        <v>20</v>
      </c>
      <c r="F180" s="6"/>
      <c r="G180" s="9">
        <v>5</v>
      </c>
      <c r="J180" s="376">
        <f t="shared" si="2"/>
        <v>5</v>
      </c>
    </row>
    <row r="181" spans="1:10" x14ac:dyDescent="0.25">
      <c r="A181" s="6" t="s">
        <v>2863</v>
      </c>
      <c r="B181" s="6" t="s">
        <v>29</v>
      </c>
      <c r="C181" s="6" t="s">
        <v>2748</v>
      </c>
      <c r="D181" s="6" t="s">
        <v>2864</v>
      </c>
      <c r="E181" s="50">
        <v>10</v>
      </c>
      <c r="F181" s="6"/>
      <c r="G181" s="9">
        <v>12</v>
      </c>
      <c r="J181" s="376">
        <f t="shared" si="2"/>
        <v>12</v>
      </c>
    </row>
    <row r="182" spans="1:10" x14ac:dyDescent="0.25">
      <c r="A182" s="6" t="s">
        <v>2860</v>
      </c>
      <c r="B182" s="6" t="s">
        <v>29</v>
      </c>
      <c r="C182" s="6" t="s">
        <v>2748</v>
      </c>
      <c r="D182" s="6" t="s">
        <v>2861</v>
      </c>
      <c r="E182" s="50">
        <v>10</v>
      </c>
      <c r="F182" s="6"/>
      <c r="G182" s="9">
        <v>2</v>
      </c>
      <c r="J182" s="376">
        <f t="shared" si="2"/>
        <v>2</v>
      </c>
    </row>
    <row r="183" spans="1:10" x14ac:dyDescent="0.25">
      <c r="A183" s="6" t="s">
        <v>2759</v>
      </c>
      <c r="B183" s="6" t="s">
        <v>29</v>
      </c>
      <c r="C183" s="6" t="s">
        <v>2748</v>
      </c>
      <c r="D183" s="6" t="s">
        <v>2760</v>
      </c>
      <c r="E183" s="50">
        <v>10</v>
      </c>
      <c r="F183" s="6"/>
      <c r="G183" s="9">
        <v>5</v>
      </c>
      <c r="J183" s="376">
        <f t="shared" si="2"/>
        <v>5</v>
      </c>
    </row>
    <row r="184" spans="1:10" x14ac:dyDescent="0.25">
      <c r="A184" s="6" t="s">
        <v>2926</v>
      </c>
      <c r="B184" s="6" t="s">
        <v>29</v>
      </c>
      <c r="C184" s="6" t="s">
        <v>2748</v>
      </c>
      <c r="D184" s="6" t="s">
        <v>2927</v>
      </c>
      <c r="E184" s="50">
        <v>20</v>
      </c>
      <c r="F184" s="6"/>
      <c r="G184" s="9">
        <v>5</v>
      </c>
      <c r="J184" s="376">
        <f t="shared" si="2"/>
        <v>5</v>
      </c>
    </row>
    <row r="185" spans="1:10" x14ac:dyDescent="0.25">
      <c r="A185" s="6" t="s">
        <v>2807</v>
      </c>
      <c r="B185" s="6" t="s">
        <v>29</v>
      </c>
      <c r="C185" s="6" t="s">
        <v>2748</v>
      </c>
      <c r="D185" s="6" t="s">
        <v>2808</v>
      </c>
      <c r="E185" s="50">
        <v>20</v>
      </c>
      <c r="F185" s="6"/>
      <c r="G185" s="9">
        <v>11</v>
      </c>
      <c r="J185" s="376">
        <f t="shared" si="2"/>
        <v>11</v>
      </c>
    </row>
    <row r="186" spans="1:10" x14ac:dyDescent="0.25">
      <c r="A186" s="6" t="s">
        <v>2878</v>
      </c>
      <c r="B186" s="6" t="s">
        <v>29</v>
      </c>
      <c r="C186" s="6" t="s">
        <v>2748</v>
      </c>
      <c r="D186" s="6" t="s">
        <v>5525</v>
      </c>
      <c r="E186" s="50">
        <v>20</v>
      </c>
      <c r="F186" s="6"/>
      <c r="G186" s="9">
        <v>12</v>
      </c>
      <c r="J186" s="376">
        <f t="shared" si="2"/>
        <v>12</v>
      </c>
    </row>
    <row r="187" spans="1:10" x14ac:dyDescent="0.25">
      <c r="A187" s="6" t="s">
        <v>2889</v>
      </c>
      <c r="B187" s="6" t="s">
        <v>29</v>
      </c>
      <c r="C187" s="6" t="s">
        <v>2748</v>
      </c>
      <c r="D187" s="6" t="s">
        <v>5526</v>
      </c>
      <c r="E187" s="50">
        <v>20</v>
      </c>
      <c r="F187" s="6"/>
      <c r="G187" s="9">
        <v>2</v>
      </c>
      <c r="J187" s="376">
        <f t="shared" si="2"/>
        <v>2</v>
      </c>
    </row>
    <row r="188" spans="1:10" x14ac:dyDescent="0.25">
      <c r="A188" s="6" t="s">
        <v>2901</v>
      </c>
      <c r="B188" s="6" t="s">
        <v>29</v>
      </c>
      <c r="C188" s="6" t="s">
        <v>2748</v>
      </c>
      <c r="D188" s="6" t="s">
        <v>5527</v>
      </c>
      <c r="E188" s="50">
        <v>20</v>
      </c>
      <c r="F188" s="6"/>
      <c r="G188" s="9">
        <v>2</v>
      </c>
      <c r="J188" s="376">
        <f t="shared" si="2"/>
        <v>2</v>
      </c>
    </row>
    <row r="189" spans="1:10" x14ac:dyDescent="0.25">
      <c r="A189" s="6" t="s">
        <v>2829</v>
      </c>
      <c r="B189" s="6" t="s">
        <v>29</v>
      </c>
      <c r="C189" s="6" t="s">
        <v>2748</v>
      </c>
      <c r="D189" s="6" t="s">
        <v>2830</v>
      </c>
      <c r="E189" s="50">
        <v>5</v>
      </c>
      <c r="F189" s="6"/>
      <c r="G189" s="9">
        <v>9</v>
      </c>
      <c r="J189" s="376">
        <f t="shared" si="2"/>
        <v>9</v>
      </c>
    </row>
    <row r="190" spans="1:10" x14ac:dyDescent="0.25">
      <c r="A190" s="6" t="s">
        <v>2922</v>
      </c>
      <c r="B190" s="6" t="s">
        <v>29</v>
      </c>
      <c r="C190" s="6" t="s">
        <v>2748</v>
      </c>
      <c r="D190" s="6" t="s">
        <v>2923</v>
      </c>
      <c r="E190" s="50">
        <v>6</v>
      </c>
      <c r="F190" s="6"/>
      <c r="G190" s="9">
        <v>5</v>
      </c>
      <c r="J190" s="376">
        <f t="shared" si="2"/>
        <v>5</v>
      </c>
    </row>
    <row r="191" spans="1:10" x14ac:dyDescent="0.25">
      <c r="A191" s="6" t="s">
        <v>2826</v>
      </c>
      <c r="B191" s="6" t="s">
        <v>29</v>
      </c>
      <c r="C191" s="6" t="s">
        <v>2748</v>
      </c>
      <c r="D191" s="6" t="s">
        <v>2827</v>
      </c>
      <c r="E191" s="50">
        <v>5</v>
      </c>
      <c r="F191" s="6"/>
      <c r="G191" s="9">
        <v>5</v>
      </c>
      <c r="J191" s="376">
        <f t="shared" si="2"/>
        <v>5</v>
      </c>
    </row>
    <row r="192" spans="1:10" x14ac:dyDescent="0.25">
      <c r="A192" s="235" t="s">
        <v>2838</v>
      </c>
      <c r="B192" s="235" t="s">
        <v>29</v>
      </c>
      <c r="C192" s="235" t="s">
        <v>2748</v>
      </c>
      <c r="D192" s="235" t="s">
        <v>2839</v>
      </c>
      <c r="E192" s="383">
        <v>4</v>
      </c>
      <c r="F192" s="235"/>
      <c r="G192" s="236">
        <v>24</v>
      </c>
      <c r="J192" s="376">
        <f t="shared" si="2"/>
        <v>24</v>
      </c>
    </row>
    <row r="193" spans="1:10" x14ac:dyDescent="0.25">
      <c r="A193" s="6" t="s">
        <v>2843</v>
      </c>
      <c r="B193" s="6" t="s">
        <v>29</v>
      </c>
      <c r="C193" s="6" t="s">
        <v>2748</v>
      </c>
      <c r="D193" s="6" t="s">
        <v>2844</v>
      </c>
      <c r="E193" s="50">
        <v>4</v>
      </c>
      <c r="F193" s="6"/>
      <c r="G193" s="9">
        <v>24</v>
      </c>
      <c r="H193" s="384"/>
      <c r="J193" s="376">
        <f t="shared" si="2"/>
        <v>24</v>
      </c>
    </row>
    <row r="194" spans="1:10" x14ac:dyDescent="0.25">
      <c r="A194" s="6" t="s">
        <v>2833</v>
      </c>
      <c r="B194" s="6" t="s">
        <v>29</v>
      </c>
      <c r="C194" s="6" t="s">
        <v>2748</v>
      </c>
      <c r="D194" s="6" t="s">
        <v>2834</v>
      </c>
      <c r="E194" s="50">
        <v>4</v>
      </c>
      <c r="F194" s="6"/>
      <c r="G194" s="9">
        <v>32</v>
      </c>
      <c r="H194" s="384"/>
      <c r="J194" s="376">
        <f t="shared" si="2"/>
        <v>32</v>
      </c>
    </row>
    <row r="195" spans="1:10" x14ac:dyDescent="0.25">
      <c r="A195" s="101" t="s">
        <v>2843</v>
      </c>
      <c r="B195" s="101" t="s">
        <v>29</v>
      </c>
      <c r="C195" s="101" t="s">
        <v>2748</v>
      </c>
      <c r="D195" s="101" t="s">
        <v>2792</v>
      </c>
      <c r="E195" s="168">
        <v>20</v>
      </c>
      <c r="F195" s="101"/>
      <c r="G195" s="168">
        <v>3</v>
      </c>
      <c r="H195" s="384"/>
      <c r="J195" s="376">
        <f t="shared" si="2"/>
        <v>3</v>
      </c>
    </row>
    <row r="196" spans="1:10" x14ac:dyDescent="0.25">
      <c r="A196" s="101" t="s">
        <v>5528</v>
      </c>
      <c r="B196" s="101" t="s">
        <v>29</v>
      </c>
      <c r="C196" s="101" t="s">
        <v>2748</v>
      </c>
      <c r="D196" s="101" t="s">
        <v>2795</v>
      </c>
      <c r="E196" s="168">
        <v>20</v>
      </c>
      <c r="F196" s="101"/>
      <c r="G196" s="168">
        <v>1</v>
      </c>
      <c r="H196" s="384"/>
      <c r="J196" s="376">
        <f t="shared" ref="J196:J214" si="3">G196+I196</f>
        <v>1</v>
      </c>
    </row>
    <row r="197" spans="1:10" x14ac:dyDescent="0.25">
      <c r="A197" s="101" t="s">
        <v>2791</v>
      </c>
      <c r="B197" s="101" t="s">
        <v>29</v>
      </c>
      <c r="C197" s="101" t="s">
        <v>2748</v>
      </c>
      <c r="D197" s="101" t="s">
        <v>5529</v>
      </c>
      <c r="E197" s="168">
        <v>20</v>
      </c>
      <c r="F197" s="101"/>
      <c r="G197" s="168">
        <v>3</v>
      </c>
      <c r="H197" s="384"/>
      <c r="J197" s="376">
        <f t="shared" si="3"/>
        <v>3</v>
      </c>
    </row>
    <row r="198" spans="1:10" x14ac:dyDescent="0.25">
      <c r="A198" s="6" t="s">
        <v>5190</v>
      </c>
      <c r="B198" s="6" t="s">
        <v>1518</v>
      </c>
      <c r="C198" s="380" t="s">
        <v>5161</v>
      </c>
      <c r="D198" s="6" t="s">
        <v>5191</v>
      </c>
      <c r="E198" s="50">
        <v>50</v>
      </c>
      <c r="F198" s="6"/>
      <c r="G198" s="9">
        <v>4</v>
      </c>
      <c r="H198" s="384"/>
      <c r="J198" s="376">
        <f t="shared" si="3"/>
        <v>4</v>
      </c>
    </row>
    <row r="199" spans="1:10" x14ac:dyDescent="0.25">
      <c r="A199" s="6" t="s">
        <v>5186</v>
      </c>
      <c r="B199" s="6" t="s">
        <v>1518</v>
      </c>
      <c r="C199" s="380" t="s">
        <v>5161</v>
      </c>
      <c r="D199" s="6" t="s">
        <v>5187</v>
      </c>
      <c r="E199" s="50">
        <v>50</v>
      </c>
      <c r="F199" s="6"/>
      <c r="G199" s="9">
        <v>4</v>
      </c>
      <c r="H199" s="384"/>
      <c r="J199" s="376">
        <f t="shared" si="3"/>
        <v>4</v>
      </c>
    </row>
    <row r="200" spans="1:10" x14ac:dyDescent="0.25">
      <c r="A200" s="6" t="s">
        <v>5180</v>
      </c>
      <c r="B200" s="6" t="s">
        <v>1518</v>
      </c>
      <c r="C200" s="380" t="s">
        <v>5161</v>
      </c>
      <c r="D200" s="6" t="s">
        <v>5181</v>
      </c>
      <c r="E200" s="50">
        <v>50</v>
      </c>
      <c r="F200" s="6"/>
      <c r="G200" s="9">
        <v>2</v>
      </c>
      <c r="H200" s="384"/>
      <c r="J200" s="376">
        <f t="shared" si="3"/>
        <v>2</v>
      </c>
    </row>
    <row r="201" spans="1:10" x14ac:dyDescent="0.25">
      <c r="A201" s="6" t="s">
        <v>5193</v>
      </c>
      <c r="B201" s="6" t="s">
        <v>1518</v>
      </c>
      <c r="C201" s="380" t="s">
        <v>5161</v>
      </c>
      <c r="D201" s="6" t="s">
        <v>5194</v>
      </c>
      <c r="E201" s="50">
        <v>50</v>
      </c>
      <c r="F201" s="6"/>
      <c r="G201" s="9">
        <v>6</v>
      </c>
      <c r="H201" s="384"/>
      <c r="J201" s="376">
        <f t="shared" si="3"/>
        <v>6</v>
      </c>
    </row>
    <row r="202" spans="1:10" x14ac:dyDescent="0.25">
      <c r="A202" s="6" t="s">
        <v>5201</v>
      </c>
      <c r="B202" s="6" t="s">
        <v>1518</v>
      </c>
      <c r="C202" s="380" t="s">
        <v>5161</v>
      </c>
      <c r="D202" s="6" t="s">
        <v>5530</v>
      </c>
      <c r="E202" s="50">
        <v>50</v>
      </c>
      <c r="F202" s="6"/>
      <c r="G202" s="9">
        <v>1</v>
      </c>
      <c r="H202" s="384" t="s">
        <v>5531</v>
      </c>
      <c r="J202" s="376">
        <f t="shared" si="3"/>
        <v>1</v>
      </c>
    </row>
    <row r="203" spans="1:10" x14ac:dyDescent="0.25">
      <c r="A203" s="6" t="s">
        <v>5237</v>
      </c>
      <c r="B203" s="6" t="s">
        <v>1518</v>
      </c>
      <c r="C203" s="380" t="s">
        <v>5161</v>
      </c>
      <c r="D203" s="6" t="s">
        <v>5238</v>
      </c>
      <c r="E203" s="50">
        <v>25</v>
      </c>
      <c r="F203" s="6"/>
      <c r="G203" s="9">
        <v>1</v>
      </c>
      <c r="H203" s="384">
        <f>SUM(G179:G203)-110-260+11+26</f>
        <v>-130</v>
      </c>
      <c r="J203" s="376">
        <f t="shared" si="3"/>
        <v>1</v>
      </c>
    </row>
    <row r="204" spans="1:10" x14ac:dyDescent="0.25">
      <c r="A204" s="101" t="s">
        <v>5160</v>
      </c>
      <c r="B204" s="101" t="s">
        <v>1518</v>
      </c>
      <c r="C204" s="385" t="s">
        <v>5161</v>
      </c>
      <c r="D204" s="101" t="s">
        <v>5162</v>
      </c>
      <c r="E204" s="200">
        <v>25</v>
      </c>
      <c r="F204" s="101"/>
      <c r="G204" s="168">
        <v>4</v>
      </c>
      <c r="H204" s="384"/>
      <c r="J204" s="376">
        <f t="shared" si="3"/>
        <v>4</v>
      </c>
    </row>
    <row r="205" spans="1:10" x14ac:dyDescent="0.25">
      <c r="A205" s="101" t="s">
        <v>5164</v>
      </c>
      <c r="B205" s="101" t="s">
        <v>1518</v>
      </c>
      <c r="C205" s="385" t="s">
        <v>5161</v>
      </c>
      <c r="D205" s="101" t="s">
        <v>5165</v>
      </c>
      <c r="E205" s="200">
        <v>25</v>
      </c>
      <c r="F205" s="101"/>
      <c r="G205" s="168">
        <v>1</v>
      </c>
      <c r="H205" s="384"/>
      <c r="J205" s="376">
        <f t="shared" si="3"/>
        <v>1</v>
      </c>
    </row>
    <row r="206" spans="1:10" x14ac:dyDescent="0.25">
      <c r="A206" s="101" t="s">
        <v>5168</v>
      </c>
      <c r="B206" s="101" t="s">
        <v>1518</v>
      </c>
      <c r="C206" s="385" t="s">
        <v>5161</v>
      </c>
      <c r="D206" s="101" t="s">
        <v>5169</v>
      </c>
      <c r="E206" s="200">
        <v>25</v>
      </c>
      <c r="F206" s="101"/>
      <c r="G206" s="168">
        <v>1</v>
      </c>
      <c r="H206" s="384"/>
      <c r="J206" s="376">
        <f t="shared" si="3"/>
        <v>1</v>
      </c>
    </row>
    <row r="207" spans="1:10" x14ac:dyDescent="0.25">
      <c r="A207" s="101" t="s">
        <v>5171</v>
      </c>
      <c r="B207" s="101" t="s">
        <v>1518</v>
      </c>
      <c r="C207" s="385" t="s">
        <v>5161</v>
      </c>
      <c r="D207" s="101" t="s">
        <v>5172</v>
      </c>
      <c r="E207" s="200">
        <v>25</v>
      </c>
      <c r="F207" s="101"/>
      <c r="G207" s="168">
        <v>2</v>
      </c>
      <c r="H207" s="384"/>
      <c r="J207" s="376">
        <f t="shared" si="3"/>
        <v>2</v>
      </c>
    </row>
    <row r="208" spans="1:10" x14ac:dyDescent="0.25">
      <c r="A208" s="101" t="s">
        <v>5177</v>
      </c>
      <c r="B208" s="101" t="s">
        <v>1518</v>
      </c>
      <c r="C208" s="385" t="s">
        <v>5161</v>
      </c>
      <c r="D208" s="101" t="s">
        <v>5178</v>
      </c>
      <c r="E208" s="200">
        <v>25</v>
      </c>
      <c r="F208" s="101"/>
      <c r="G208" s="168">
        <v>4</v>
      </c>
      <c r="H208" s="384"/>
      <c r="J208" s="376">
        <f t="shared" si="3"/>
        <v>4</v>
      </c>
    </row>
    <row r="209" spans="1:10" x14ac:dyDescent="0.25">
      <c r="A209" s="101" t="s">
        <v>2953</v>
      </c>
      <c r="B209" s="101" t="s">
        <v>5</v>
      </c>
      <c r="C209" s="101" t="s">
        <v>2947</v>
      </c>
      <c r="D209" s="101" t="s">
        <v>2954</v>
      </c>
      <c r="E209" s="200">
        <v>25</v>
      </c>
      <c r="F209" s="101"/>
      <c r="G209" s="168">
        <v>1</v>
      </c>
      <c r="H209" s="384"/>
      <c r="J209" s="376">
        <f t="shared" si="3"/>
        <v>1</v>
      </c>
    </row>
    <row r="210" spans="1:10" x14ac:dyDescent="0.25">
      <c r="A210" s="101" t="s">
        <v>2946</v>
      </c>
      <c r="B210" s="101" t="s">
        <v>5</v>
      </c>
      <c r="C210" s="101" t="s">
        <v>2947</v>
      </c>
      <c r="D210" s="101" t="s">
        <v>2948</v>
      </c>
      <c r="E210" s="200">
        <v>20</v>
      </c>
      <c r="F210" s="101"/>
      <c r="G210" s="168">
        <v>8</v>
      </c>
      <c r="H210" s="384"/>
      <c r="J210" s="376">
        <f t="shared" si="3"/>
        <v>8</v>
      </c>
    </row>
    <row r="211" spans="1:10" x14ac:dyDescent="0.25">
      <c r="A211" s="101" t="s">
        <v>2982</v>
      </c>
      <c r="B211" s="101" t="s">
        <v>29</v>
      </c>
      <c r="C211" s="385" t="s">
        <v>2974</v>
      </c>
      <c r="D211" s="101" t="s">
        <v>2983</v>
      </c>
      <c r="E211" s="200">
        <v>5</v>
      </c>
      <c r="F211" s="101"/>
      <c r="G211" s="168">
        <v>110</v>
      </c>
      <c r="H211" s="384">
        <v>110</v>
      </c>
      <c r="J211" s="376">
        <f t="shared" si="3"/>
        <v>110</v>
      </c>
    </row>
    <row r="212" spans="1:10" x14ac:dyDescent="0.25">
      <c r="A212" s="101" t="s">
        <v>2979</v>
      </c>
      <c r="B212" s="101" t="s">
        <v>29</v>
      </c>
      <c r="C212" s="385" t="s">
        <v>2974</v>
      </c>
      <c r="D212" s="101" t="s">
        <v>2980</v>
      </c>
      <c r="E212" s="200">
        <v>5</v>
      </c>
      <c r="F212" s="101"/>
      <c r="G212" s="168">
        <v>250</v>
      </c>
      <c r="H212" s="384">
        <v>260</v>
      </c>
      <c r="J212" s="376">
        <f t="shared" si="3"/>
        <v>250</v>
      </c>
    </row>
    <row r="213" spans="1:10" x14ac:dyDescent="0.25">
      <c r="A213" s="101" t="s">
        <v>5532</v>
      </c>
      <c r="B213" s="101" t="s">
        <v>29</v>
      </c>
      <c r="C213" s="101" t="s">
        <v>5533</v>
      </c>
      <c r="D213" s="101" t="s">
        <v>5534</v>
      </c>
      <c r="E213" s="200">
        <v>20</v>
      </c>
      <c r="F213" s="101"/>
      <c r="G213" s="168">
        <v>1</v>
      </c>
      <c r="H213" s="384"/>
      <c r="J213" s="376">
        <f t="shared" si="3"/>
        <v>1</v>
      </c>
    </row>
    <row r="214" spans="1:10" x14ac:dyDescent="0.25">
      <c r="A214" s="101" t="s">
        <v>5535</v>
      </c>
      <c r="B214" s="101" t="s">
        <v>29</v>
      </c>
      <c r="C214" s="101" t="s">
        <v>2992</v>
      </c>
      <c r="D214" s="328" t="s">
        <v>2993</v>
      </c>
      <c r="E214" s="200">
        <v>20</v>
      </c>
      <c r="F214" s="101"/>
      <c r="G214" s="168">
        <v>1</v>
      </c>
      <c r="H214" s="384"/>
      <c r="J214" s="376">
        <f t="shared" si="3"/>
        <v>1</v>
      </c>
    </row>
    <row r="215" spans="1:8" x14ac:dyDescent="0.25">
      <c r="A215" s="6"/>
      <c r="B215" s="6"/>
      <c r="C215" s="6"/>
      <c r="D215" s="6"/>
      <c r="E215" s="6"/>
      <c r="F215" s="6"/>
      <c r="G215" s="9"/>
      <c r="H215" s="384"/>
    </row>
    <row r="216" spans="1:8" x14ac:dyDescent="0.25">
      <c r="A216" s="6"/>
      <c r="B216" s="6"/>
      <c r="C216" s="6"/>
      <c r="D216" s="6"/>
      <c r="E216" s="6"/>
      <c r="F216" s="6"/>
      <c r="G216" s="9"/>
      <c r="H216" s="384"/>
    </row>
    <row r="217" spans="1:8" x14ac:dyDescent="0.25">
      <c r="A217" s="6"/>
      <c r="B217" s="6"/>
      <c r="C217" s="6"/>
      <c r="D217" s="6"/>
      <c r="E217" s="6"/>
      <c r="F217" s="6"/>
      <c r="G217" s="9"/>
      <c r="H217" s="384"/>
    </row>
    <row r="218" spans="1:8" x14ac:dyDescent="0.25">
      <c r="A218" s="6"/>
      <c r="B218" s="6"/>
      <c r="C218" s="6"/>
      <c r="D218" s="6"/>
      <c r="E218" s="6"/>
      <c r="F218" s="6"/>
      <c r="G218" s="9"/>
      <c r="H218" s="384"/>
    </row>
    <row r="219" spans="1:8" x14ac:dyDescent="0.25">
      <c r="A219" s="6"/>
      <c r="B219" s="6"/>
      <c r="C219" s="6"/>
      <c r="D219" s="6"/>
      <c r="E219" s="6"/>
      <c r="F219" s="6"/>
      <c r="G219" s="9"/>
      <c r="H219" s="384"/>
    </row>
    <row r="220" spans="1:8" x14ac:dyDescent="0.25">
      <c r="A220" s="6"/>
      <c r="B220" s="6"/>
      <c r="C220" s="6"/>
      <c r="D220" s="6"/>
      <c r="E220" s="6"/>
      <c r="F220" s="6"/>
      <c r="G220" s="9"/>
      <c r="H220" s="384"/>
    </row>
    <row r="221" spans="1:8" x14ac:dyDescent="0.25">
      <c r="A221" s="6"/>
      <c r="B221" s="6"/>
      <c r="C221" s="6"/>
      <c r="D221" s="6"/>
      <c r="E221" s="6"/>
      <c r="F221" s="6"/>
      <c r="G221" s="9"/>
      <c r="H221" s="384"/>
    </row>
    <row r="222" spans="2:7" x14ac:dyDescent="0.25">
      <c r="G222" s="208">
        <f>SUM(G4:G221)</f>
        <v>2255</v>
      </c>
    </row>
  </sheetData>
  <pageMargins left="0.7" right="0.7" top="0.75" bottom="0.75" header="0.3" footer="0.3"/>
  <pageSetup paperSize="9" orientation="portrait" horizontalDpi="0" verticalDpi="0" scale="88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4"/>
  <sheetViews>
    <sheetView workbookViewId="0" zoomScale="100" zoomScaleNormal="100">
      <selection activeCell="A12" sqref="A12"/>
    </sheetView>
  </sheetViews>
  <sheetFormatPr defaultRowHeight="15" outlineLevelRow="0" outlineLevelCol="0" x14ac:dyDescent="0"/>
  <cols>
    <col min="1" max="1" width="38.5703125" customWidth="1"/>
  </cols>
  <sheetData>
    <row r="2" spans="1:2" x14ac:dyDescent="0.25">
      <c r="A2" t="s">
        <v>5340</v>
      </c>
      <c r="B2" t="s">
        <v>5341</v>
      </c>
    </row>
    <row r="3" spans="1:2" x14ac:dyDescent="0.25">
      <c r="A3" t="s">
        <v>5342</v>
      </c>
      <c r="B3" t="s">
        <v>5341</v>
      </c>
    </row>
    <row r="4" spans="1:2" x14ac:dyDescent="0.25">
      <c r="A4" t="s">
        <v>5343</v>
      </c>
    </row>
    <row r="5" spans="1:2" x14ac:dyDescent="0.25">
      <c r="A5" t="s">
        <v>5344</v>
      </c>
    </row>
    <row r="6" spans="1:2" x14ac:dyDescent="0.25">
      <c r="A6" t="s">
        <v>5345</v>
      </c>
    </row>
    <row r="7" spans="1:2" x14ac:dyDescent="0.25">
      <c r="A7" t="s">
        <v>5346</v>
      </c>
    </row>
    <row r="8" spans="1:2" x14ac:dyDescent="0.25">
      <c r="A8" t="s">
        <v>5347</v>
      </c>
    </row>
    <row r="9" spans="1:2" x14ac:dyDescent="0.25">
      <c r="A9" t="s">
        <v>5348</v>
      </c>
    </row>
    <row r="10" spans="1:2" x14ac:dyDescent="0.25">
      <c r="A10" t="s">
        <v>4469</v>
      </c>
      <c r="B10" t="s">
        <v>5341</v>
      </c>
    </row>
    <row r="11" spans="1:2" x14ac:dyDescent="0.25">
      <c r="A11" t="s">
        <v>29</v>
      </c>
    </row>
    <row r="12" spans="1:2" x14ac:dyDescent="0.25">
      <c r="A12" t="s">
        <v>5349</v>
      </c>
    </row>
    <row r="13" spans="1:2" x14ac:dyDescent="0.25">
      <c r="A13" t="s">
        <v>5350</v>
      </c>
    </row>
    <row r="15" spans="1:2" x14ac:dyDescent="0.25">
      <c r="A15" t="s">
        <v>5351</v>
      </c>
    </row>
    <row r="16" spans="1:2" x14ac:dyDescent="0.25">
      <c r="A16" t="s">
        <v>5352</v>
      </c>
      <c r="B16" t="s">
        <v>5341</v>
      </c>
    </row>
    <row r="17" spans="1:2" x14ac:dyDescent="0.25">
      <c r="A17" t="s">
        <v>4643</v>
      </c>
      <c r="B17" t="s">
        <v>5341</v>
      </c>
    </row>
    <row r="18" spans="1:2" x14ac:dyDescent="0.25">
      <c r="A18" t="s">
        <v>5347</v>
      </c>
    </row>
    <row r="19" spans="2:2" x14ac:dyDescent="0.25">
      <c r="B19" t="s">
        <v>5341</v>
      </c>
    </row>
    <row r="20" spans="2:2" x14ac:dyDescent="0.25">
      <c r="B20" t="s">
        <v>5341</v>
      </c>
    </row>
    <row r="21" spans="2:2" x14ac:dyDescent="0.25">
      <c r="B21" t="s">
        <v>5341</v>
      </c>
    </row>
    <row r="22" spans="2:2" x14ac:dyDescent="0.25">
      <c r="B22" t="s">
        <v>5341</v>
      </c>
    </row>
    <row r="23" spans="2:2" x14ac:dyDescent="0.25">
      <c r="B23" t="s">
        <v>5341</v>
      </c>
    </row>
    <row r="24" spans="2:2" x14ac:dyDescent="0.25">
      <c r="B24" t="s">
        <v>5341</v>
      </c>
    </row>
    <row r="25" spans="2:2" x14ac:dyDescent="0.25">
      <c r="B25" t="s">
        <v>5341</v>
      </c>
    </row>
    <row r="26" spans="2:2" x14ac:dyDescent="0.25">
      <c r="B26" t="s">
        <v>5341</v>
      </c>
    </row>
    <row r="27" spans="2:2" x14ac:dyDescent="0.25">
      <c r="B27" t="s">
        <v>5341</v>
      </c>
    </row>
    <row r="28" spans="1:2" x14ac:dyDescent="0.25">
      <c r="A28" t="s">
        <v>5353</v>
      </c>
      <c r="B28" t="s">
        <v>5341</v>
      </c>
    </row>
    <row r="29" spans="1:2" x14ac:dyDescent="0.25">
      <c r="A29" t="s">
        <v>5354</v>
      </c>
      <c r="B29" t="s">
        <v>5341</v>
      </c>
    </row>
    <row r="30" spans="1:2" x14ac:dyDescent="0.25">
      <c r="A30" t="s">
        <v>5355</v>
      </c>
      <c r="B30" t="s">
        <v>5341</v>
      </c>
    </row>
    <row r="31" spans="1:2" x14ac:dyDescent="0.25">
      <c r="A31" t="s">
        <v>5356</v>
      </c>
      <c r="B31" t="s">
        <v>5341</v>
      </c>
    </row>
    <row r="32" spans="1:2" x14ac:dyDescent="0.25">
      <c r="A32" t="s">
        <v>5357</v>
      </c>
      <c r="B32" t="s">
        <v>5341</v>
      </c>
    </row>
    <row r="33" spans="1:2" x14ac:dyDescent="0.25">
      <c r="A33" t="s">
        <v>5358</v>
      </c>
    </row>
    <row r="34" spans="1:2" x14ac:dyDescent="0.25">
      <c r="A34" t="s">
        <v>5359</v>
      </c>
    </row>
    <row r="35" spans="1:2" x14ac:dyDescent="0.25">
      <c r="A35" t="s">
        <v>5360</v>
      </c>
    </row>
    <row r="36" spans="1:2" x14ac:dyDescent="0.25">
      <c r="A36" t="s">
        <v>5361</v>
      </c>
    </row>
    <row r="37" spans="1:2" x14ac:dyDescent="0.25">
      <c r="A37" t="s">
        <v>5362</v>
      </c>
    </row>
    <row r="38" spans="1:2" x14ac:dyDescent="0.25">
      <c r="A38" t="s">
        <v>5363</v>
      </c>
    </row>
    <row r="39" spans="1:2" x14ac:dyDescent="0.25">
      <c r="A39" t="s">
        <v>5364</v>
      </c>
    </row>
    <row r="40" spans="1:2" x14ac:dyDescent="0.25">
      <c r="A40" t="s">
        <v>5365</v>
      </c>
    </row>
    <row r="41" spans="1:2" x14ac:dyDescent="0.25">
      <c r="A41" t="s">
        <v>5366</v>
      </c>
    </row>
    <row r="42" spans="1:2" x14ac:dyDescent="0.25">
      <c r="A42" t="s">
        <v>5367</v>
      </c>
    </row>
    <row r="43" spans="1:2" x14ac:dyDescent="0.25">
      <c r="A43" t="s">
        <v>2995</v>
      </c>
    </row>
    <row r="44" spans="1:2" x14ac:dyDescent="0.25">
      <c r="A44" t="s">
        <v>5368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2"/>
  <sheetViews>
    <sheetView workbookViewId="0" zoomScale="100" zoomScaleNormal="100">
      <pane xSplit="7" topLeftCell="H1" activePane="topRight" state="frozen"/>
      <selection pane="topRight" activeCell="M49" sqref="M49"/>
    </sheetView>
  </sheetViews>
  <sheetFormatPr defaultRowHeight="15" outlineLevelRow="0" outlineLevelCol="0" x14ac:dyDescent="0" defaultColWidth="8.5703125"/>
  <cols>
    <col min="1" max="1" width="15.5703125" customWidth="1"/>
    <col min="2" max="2" width="10.42578125" customWidth="1"/>
    <col min="3" max="3" width="8" hidden="1" customWidth="1"/>
    <col min="4" max="4" width="33.5703125" style="273" customWidth="1"/>
    <col min="6" max="6" width="9.5703125" style="4" customWidth="1"/>
    <col min="7" max="7" width="19.5703125" style="208" customWidth="1"/>
    <col min="8" max="9" width="10.5703125" customWidth="1"/>
    <col min="10" max="10" width="9.5703125" customWidth="1"/>
    <col min="11" max="11" width="8.5703125" customWidth="1"/>
    <col min="12" max="12" width="10.28515625" customWidth="1"/>
    <col min="13" max="13" width="8.5703125" customWidth="1"/>
  </cols>
  <sheetData>
    <row r="1" spans="1:12" x14ac:dyDescent="0.25">
      <c r="A1" t="s">
        <v>3981</v>
      </c>
      <c r="B1" t="s">
        <v>3982</v>
      </c>
      <c r="C1" s="274">
        <v>9.4</v>
      </c>
      <c r="D1" s="273" t="s">
        <v>3983</v>
      </c>
      <c r="E1">
        <v>24</v>
      </c>
      <c r="F1" s="4">
        <v>5</v>
      </c>
      <c r="G1" s="208" t="s">
        <v>3984</v>
      </c>
      <c r="H1" t="s">
        <v>1716</v>
      </c>
      <c r="I1" t="s">
        <v>1523</v>
      </c>
      <c r="J1" t="s">
        <v>265</v>
      </c>
      <c r="K1" t="s">
        <v>706</v>
      </c>
      <c r="L1" t="s">
        <v>3985</v>
      </c>
    </row>
    <row r="2" spans="1:10" x14ac:dyDescent="0.25">
      <c r="A2" t="s">
        <v>3986</v>
      </c>
      <c r="B2" t="s">
        <v>3987</v>
      </c>
      <c r="C2">
        <v>8.3</v>
      </c>
      <c r="D2" s="275" t="s">
        <v>3988</v>
      </c>
      <c r="E2" s="4">
        <v>20</v>
      </c>
      <c r="F2" s="4">
        <v>3</v>
      </c>
      <c r="G2" s="208" t="s">
        <v>41</v>
      </c>
      <c r="H2" t="s">
        <v>908</v>
      </c>
      <c r="I2" t="s">
        <v>3989</v>
      </c>
      <c r="J2" t="s">
        <v>502</v>
      </c>
    </row>
    <row r="3" spans="1:19" x14ac:dyDescent="0.25">
      <c r="A3" t="s">
        <v>3990</v>
      </c>
      <c r="B3" t="s">
        <v>3991</v>
      </c>
      <c r="C3">
        <v>8.3</v>
      </c>
      <c r="D3" s="273" t="s">
        <v>3992</v>
      </c>
      <c r="E3">
        <v>20</v>
      </c>
      <c r="F3">
        <v>4</v>
      </c>
      <c r="G3" s="208" t="s">
        <v>2024</v>
      </c>
      <c r="H3" t="s">
        <v>199</v>
      </c>
      <c r="I3" s="209" t="s">
        <v>3993</v>
      </c>
      <c r="J3" t="s">
        <v>1071</v>
      </c>
      <c r="K3" t="s">
        <v>497</v>
      </c>
      <c r="L3" t="s">
        <v>497</v>
      </c>
      <c r="M3" t="s">
        <v>231</v>
      </c>
      <c r="N3" t="s">
        <v>141</v>
      </c>
      <c r="O3" t="s">
        <v>119</v>
      </c>
      <c r="P3" t="s">
        <v>65</v>
      </c>
      <c r="Q3" t="s">
        <v>830</v>
      </c>
      <c r="R3" t="s">
        <v>213</v>
      </c>
      <c r="S3" t="s">
        <v>583</v>
      </c>
    </row>
    <row r="4" spans="2:6" x14ac:dyDescent="0.25">
      <c r="B4" t="s">
        <v>3994</v>
      </c>
      <c r="D4" s="273" t="s">
        <v>3995</v>
      </c>
      <c r="E4">
        <v>24</v>
      </c>
      <c r="F4" s="16">
        <v>0</v>
      </c>
    </row>
    <row r="5" spans="2:15" x14ac:dyDescent="0.25">
      <c r="B5" t="s">
        <v>3996</v>
      </c>
      <c r="D5" s="273" t="s">
        <v>3997</v>
      </c>
      <c r="E5">
        <v>20</v>
      </c>
      <c r="F5" s="16">
        <v>0</v>
      </c>
      <c r="G5" s="208" t="s">
        <v>3998</v>
      </c>
      <c r="H5" t="s">
        <v>1240</v>
      </c>
      <c r="I5" t="s">
        <v>266</v>
      </c>
      <c r="O5" s="4"/>
    </row>
    <row r="6" spans="2:18" x14ac:dyDescent="0.25">
      <c r="B6" t="s">
        <v>3999</v>
      </c>
      <c r="C6">
        <v>3</v>
      </c>
      <c r="D6" s="273" t="s">
        <v>4000</v>
      </c>
      <c r="E6">
        <v>10</v>
      </c>
      <c r="F6" s="4">
        <v>5</v>
      </c>
      <c r="G6" s="208" t="s">
        <v>2381</v>
      </c>
      <c r="H6" t="s">
        <v>4001</v>
      </c>
      <c r="I6" t="s">
        <v>754</v>
      </c>
      <c r="J6" t="s">
        <v>26</v>
      </c>
      <c r="K6" t="s">
        <v>1321</v>
      </c>
      <c r="L6" t="s">
        <v>986</v>
      </c>
      <c r="M6" t="s">
        <v>627</v>
      </c>
      <c r="N6" t="s">
        <v>2873</v>
      </c>
      <c r="O6" t="s">
        <v>616</v>
      </c>
      <c r="P6" t="s">
        <v>1377</v>
      </c>
      <c r="Q6" t="s">
        <v>870</v>
      </c>
      <c r="R6" t="s">
        <v>158</v>
      </c>
    </row>
    <row r="7" spans="1:16" x14ac:dyDescent="0.25">
      <c r="A7" t="s">
        <v>4002</v>
      </c>
      <c r="B7" t="s">
        <v>4003</v>
      </c>
      <c r="C7">
        <v>7.5</v>
      </c>
      <c r="D7" s="273" t="s">
        <v>4004</v>
      </c>
      <c r="E7">
        <v>25</v>
      </c>
      <c r="F7" s="4">
        <v>2</v>
      </c>
      <c r="G7" s="208" t="s">
        <v>4005</v>
      </c>
      <c r="H7" t="s">
        <v>803</v>
      </c>
      <c r="I7" t="s">
        <v>358</v>
      </c>
      <c r="J7" t="s">
        <v>61</v>
      </c>
      <c r="K7" t="s">
        <v>219</v>
      </c>
      <c r="M7" t="s">
        <v>191</v>
      </c>
      <c r="N7" t="s">
        <v>275</v>
      </c>
      <c r="O7" t="s">
        <v>935</v>
      </c>
      <c r="P7" t="s">
        <v>880</v>
      </c>
    </row>
    <row r="8" spans="1:16" s="14" customFormat="1" x14ac:dyDescent="0.25">
      <c r="A8" s="4" t="s">
        <v>4006</v>
      </c>
      <c r="B8" s="4" t="s">
        <v>4007</v>
      </c>
      <c r="C8" s="4">
        <v>7.5</v>
      </c>
      <c r="D8" s="275" t="s">
        <v>4008</v>
      </c>
      <c r="E8" s="4">
        <v>25</v>
      </c>
      <c r="F8" s="4">
        <v>1</v>
      </c>
      <c r="G8" s="210" t="s">
        <v>2566</v>
      </c>
      <c r="H8" s="4" t="s">
        <v>935</v>
      </c>
      <c r="I8" s="4" t="s">
        <v>2615</v>
      </c>
      <c r="J8" s="4" t="s">
        <v>219</v>
      </c>
      <c r="K8" s="4" t="s">
        <v>161</v>
      </c>
      <c r="L8" s="135" t="s">
        <v>673</v>
      </c>
      <c r="N8" s="4" t="s">
        <v>499</v>
      </c>
      <c r="O8" s="4" t="s">
        <v>4009</v>
      </c>
      <c r="P8" s="4" t="s">
        <v>3937</v>
      </c>
    </row>
    <row r="9" spans="1:24" s="276" customFormat="1" x14ac:dyDescent="0.25">
      <c r="A9" s="276" t="s">
        <v>4010</v>
      </c>
      <c r="B9" s="276" t="s">
        <v>4011</v>
      </c>
      <c r="D9" s="277" t="s">
        <v>4012</v>
      </c>
      <c r="E9" s="276">
        <v>20</v>
      </c>
      <c r="F9" s="276">
        <v>9</v>
      </c>
      <c r="G9" s="278" t="s">
        <v>4013</v>
      </c>
      <c r="H9" s="276" t="s">
        <v>45</v>
      </c>
      <c r="I9" s="276" t="s">
        <v>1875</v>
      </c>
      <c r="J9" s="276" t="s">
        <v>418</v>
      </c>
      <c r="K9" s="276" t="s">
        <v>659</v>
      </c>
      <c r="L9" s="276" t="s">
        <v>62</v>
      </c>
      <c r="M9" s="276" t="s">
        <v>36</v>
      </c>
      <c r="N9" s="276" t="s">
        <v>171</v>
      </c>
      <c r="O9" s="276" t="s">
        <v>4014</v>
      </c>
      <c r="Q9" s="276" t="s">
        <v>1939</v>
      </c>
      <c r="R9" s="276" t="s">
        <v>958</v>
      </c>
      <c r="S9" s="276" t="s">
        <v>602</v>
      </c>
      <c r="T9" s="276" t="s">
        <v>539</v>
      </c>
      <c r="U9" s="276" t="s">
        <v>85</v>
      </c>
      <c r="V9" s="276" t="s">
        <v>305</v>
      </c>
      <c r="W9" s="276" t="s">
        <v>844</v>
      </c>
      <c r="X9" s="276" t="s">
        <v>2601</v>
      </c>
    </row>
    <row r="10" spans="2:15" x14ac:dyDescent="0.25">
      <c r="B10" t="s">
        <v>4015</v>
      </c>
      <c r="D10" s="273" t="s">
        <v>4016</v>
      </c>
      <c r="E10">
        <v>20</v>
      </c>
      <c r="F10" s="16">
        <v>0</v>
      </c>
      <c r="G10" s="208" t="s">
        <v>4017</v>
      </c>
      <c r="H10" t="s">
        <v>545</v>
      </c>
      <c r="I10" t="s">
        <v>1535</v>
      </c>
      <c r="J10" t="s">
        <v>1022</v>
      </c>
      <c r="K10" t="s">
        <v>497</v>
      </c>
      <c r="L10" t="s">
        <v>1260</v>
      </c>
      <c r="M10" t="s">
        <v>537</v>
      </c>
      <c r="N10" t="s">
        <v>958</v>
      </c>
      <c r="O10" t="s">
        <v>698</v>
      </c>
    </row>
    <row r="11" spans="2:8" s="279" customFormat="1" x14ac:dyDescent="0.25">
      <c r="B11" t="s">
        <v>4018</v>
      </c>
      <c r="D11" s="273" t="s">
        <v>4019</v>
      </c>
      <c r="E11">
        <v>13</v>
      </c>
      <c r="F11" s="16">
        <v>0</v>
      </c>
      <c r="G11" s="208"/>
      <c r="H11" t="s">
        <v>666</v>
      </c>
    </row>
    <row r="12" spans="2:6" x14ac:dyDescent="0.25">
      <c r="B12" t="s">
        <v>4020</v>
      </c>
      <c r="D12" s="273" t="s">
        <v>4021</v>
      </c>
      <c r="E12">
        <v>13</v>
      </c>
      <c r="F12" s="16">
        <v>0</v>
      </c>
    </row>
    <row r="13" spans="2:6" x14ac:dyDescent="0.25">
      <c r="B13" t="s">
        <v>4022</v>
      </c>
      <c r="D13" s="273" t="s">
        <v>4023</v>
      </c>
      <c r="E13">
        <v>13</v>
      </c>
      <c r="F13" s="16">
        <v>0</v>
      </c>
    </row>
    <row r="14" spans="2:9" s="279" customFormat="1" x14ac:dyDescent="0.25">
      <c r="B14" t="s">
        <v>4024</v>
      </c>
      <c r="D14" s="273" t="s">
        <v>4025</v>
      </c>
      <c r="E14">
        <v>20</v>
      </c>
      <c r="F14" s="16">
        <v>0</v>
      </c>
      <c r="G14" s="280" t="s">
        <v>4026</v>
      </c>
      <c r="H14" t="s">
        <v>2142</v>
      </c>
      <c r="I14" t="s">
        <v>2907</v>
      </c>
    </row>
    <row r="15" spans="2:9" x14ac:dyDescent="0.25">
      <c r="B15" t="s">
        <v>4027</v>
      </c>
      <c r="D15" s="273" t="s">
        <v>4028</v>
      </c>
      <c r="E15">
        <v>25</v>
      </c>
      <c r="F15" s="16">
        <v>0</v>
      </c>
      <c r="G15" s="208" t="s">
        <v>4029</v>
      </c>
      <c r="H15" t="s">
        <v>237</v>
      </c>
      <c r="I15" t="s">
        <v>1493</v>
      </c>
    </row>
    <row r="16" spans="2:9" x14ac:dyDescent="0.25">
      <c r="B16" t="s">
        <v>4030</v>
      </c>
      <c r="D16" s="273" t="s">
        <v>4031</v>
      </c>
      <c r="E16">
        <v>25</v>
      </c>
      <c r="F16" s="16">
        <v>0</v>
      </c>
      <c r="G16" s="208" t="s">
        <v>4017</v>
      </c>
      <c r="H16" t="s">
        <v>106</v>
      </c>
      <c r="I16" t="s">
        <v>1824</v>
      </c>
    </row>
    <row r="17" spans="2:11" x14ac:dyDescent="0.25">
      <c r="B17" t="s">
        <v>4032</v>
      </c>
      <c r="D17" s="273" t="s">
        <v>4033</v>
      </c>
      <c r="E17">
        <v>25</v>
      </c>
      <c r="F17" s="16">
        <v>0</v>
      </c>
      <c r="G17" s="208" t="s">
        <v>4034</v>
      </c>
      <c r="H17" t="s">
        <v>2785</v>
      </c>
      <c r="I17" t="s">
        <v>4035</v>
      </c>
      <c r="J17" t="s">
        <v>795</v>
      </c>
      <c r="K17" t="s">
        <v>1071</v>
      </c>
    </row>
    <row r="18" spans="2:9" x14ac:dyDescent="0.25">
      <c r="B18" t="s">
        <v>4036</v>
      </c>
      <c r="D18" s="273" t="s">
        <v>4037</v>
      </c>
      <c r="E18">
        <v>25</v>
      </c>
      <c r="F18" s="16">
        <v>0</v>
      </c>
      <c r="G18" s="280" t="s">
        <v>4029</v>
      </c>
      <c r="H18" t="s">
        <v>1824</v>
      </c>
      <c r="I18" t="s">
        <v>4038</v>
      </c>
    </row>
    <row r="19" spans="2:11" x14ac:dyDescent="0.25">
      <c r="B19" t="s">
        <v>4039</v>
      </c>
      <c r="D19" s="273" t="s">
        <v>4040</v>
      </c>
      <c r="E19">
        <v>50</v>
      </c>
      <c r="F19" s="16">
        <v>0</v>
      </c>
      <c r="G19" s="208" t="s">
        <v>4041</v>
      </c>
      <c r="H19" t="s">
        <v>545</v>
      </c>
      <c r="I19" t="s">
        <v>4042</v>
      </c>
      <c r="J19" t="s">
        <v>231</v>
      </c>
      <c r="K19" t="s">
        <v>215</v>
      </c>
    </row>
    <row r="20" spans="1:12" x14ac:dyDescent="0.25">
      <c r="A20" t="s">
        <v>638</v>
      </c>
      <c r="B20" t="s">
        <v>4043</v>
      </c>
      <c r="D20" s="273" t="s">
        <v>4044</v>
      </c>
      <c r="E20">
        <v>50</v>
      </c>
      <c r="F20" s="4">
        <v>1</v>
      </c>
      <c r="G20" s="208" t="s">
        <v>1171</v>
      </c>
      <c r="H20" t="s">
        <v>545</v>
      </c>
      <c r="I20" t="s">
        <v>2898</v>
      </c>
      <c r="J20" t="s">
        <v>110</v>
      </c>
      <c r="K20" t="s">
        <v>539</v>
      </c>
      <c r="L20" s="209" t="s">
        <v>192</v>
      </c>
    </row>
    <row r="21" spans="2:9" s="14" customFormat="1" x14ac:dyDescent="0.25">
      <c r="B21" s="281" t="s">
        <v>4045</v>
      </c>
      <c r="C21" s="281"/>
      <c r="D21" s="282" t="s">
        <v>4046</v>
      </c>
      <c r="E21" s="281">
        <v>25</v>
      </c>
      <c r="F21" s="283">
        <v>0</v>
      </c>
      <c r="G21" s="208" t="s">
        <v>4029</v>
      </c>
      <c r="H21" t="s">
        <v>3904</v>
      </c>
      <c r="I21" t="s">
        <v>2206</v>
      </c>
    </row>
    <row r="22" spans="1:22" s="14" customFormat="1" x14ac:dyDescent="0.25">
      <c r="A22" s="4" t="s">
        <v>4047</v>
      </c>
      <c r="B22" s="281" t="s">
        <v>4048</v>
      </c>
      <c r="C22" s="284">
        <v>6.3</v>
      </c>
      <c r="D22" s="282" t="s">
        <v>4049</v>
      </c>
      <c r="E22" s="281">
        <v>25</v>
      </c>
      <c r="F22" s="281">
        <v>2</v>
      </c>
      <c r="G22" s="208" t="s">
        <v>4050</v>
      </c>
      <c r="H22" t="s">
        <v>4051</v>
      </c>
      <c r="I22" t="s">
        <v>188</v>
      </c>
      <c r="J22" t="s">
        <v>1242</v>
      </c>
      <c r="K22" t="s">
        <v>2226</v>
      </c>
      <c r="L22" t="s">
        <v>534</v>
      </c>
      <c r="M22" t="s">
        <v>991</v>
      </c>
      <c r="N22" t="s">
        <v>902</v>
      </c>
      <c r="O22" t="s">
        <v>231</v>
      </c>
      <c r="P22" t="s">
        <v>231</v>
      </c>
      <c r="Q22" t="s">
        <v>537</v>
      </c>
      <c r="R22" t="s">
        <v>986</v>
      </c>
      <c r="S22" t="s">
        <v>2134</v>
      </c>
      <c r="T22" t="s">
        <v>738</v>
      </c>
      <c r="U22" t="s">
        <v>4052</v>
      </c>
      <c r="V22" t="s">
        <v>463</v>
      </c>
    </row>
    <row r="23" spans="1:24" s="14" customFormat="1" x14ac:dyDescent="0.25">
      <c r="A23" s="4" t="s">
        <v>4053</v>
      </c>
      <c r="B23" s="281" t="s">
        <v>4054</v>
      </c>
      <c r="C23" s="284">
        <v>6.3</v>
      </c>
      <c r="D23" s="282" t="s">
        <v>4055</v>
      </c>
      <c r="E23" s="281">
        <v>25</v>
      </c>
      <c r="F23" s="281">
        <v>6</v>
      </c>
      <c r="G23" s="210" t="s">
        <v>130</v>
      </c>
      <c r="H23" s="4" t="s">
        <v>46</v>
      </c>
      <c r="I23" s="4" t="s">
        <v>3578</v>
      </c>
      <c r="J23" s="4" t="s">
        <v>4056</v>
      </c>
      <c r="K23" s="4" t="s">
        <v>465</v>
      </c>
      <c r="M23" s="4" t="s">
        <v>991</v>
      </c>
      <c r="N23" s="4" t="s">
        <v>902</v>
      </c>
      <c r="O23" s="4" t="s">
        <v>231</v>
      </c>
      <c r="P23" s="4" t="s">
        <v>231</v>
      </c>
      <c r="Q23" s="4" t="s">
        <v>537</v>
      </c>
      <c r="R23" s="4" t="s">
        <v>986</v>
      </c>
      <c r="S23" s="4" t="s">
        <v>2134</v>
      </c>
      <c r="T23" s="4" t="s">
        <v>273</v>
      </c>
      <c r="U23" s="4" t="s">
        <v>880</v>
      </c>
      <c r="V23" s="4" t="s">
        <v>2372</v>
      </c>
      <c r="W23" s="4" t="s">
        <v>4057</v>
      </c>
      <c r="X23" s="4" t="s">
        <v>379</v>
      </c>
    </row>
    <row r="24" spans="1:12" x14ac:dyDescent="0.25">
      <c r="A24" t="s">
        <v>4058</v>
      </c>
      <c r="B24" s="281" t="s">
        <v>4059</v>
      </c>
      <c r="C24" s="281">
        <v>8.1</v>
      </c>
      <c r="D24" s="282" t="s">
        <v>4060</v>
      </c>
      <c r="E24" s="281">
        <v>18</v>
      </c>
      <c r="F24" s="4">
        <v>2</v>
      </c>
      <c r="G24" s="280" t="s">
        <v>4061</v>
      </c>
      <c r="H24" t="s">
        <v>703</v>
      </c>
      <c r="I24" t="s">
        <v>703</v>
      </c>
      <c r="J24" t="s">
        <v>4062</v>
      </c>
      <c r="K24" t="s">
        <v>3810</v>
      </c>
      <c r="L24" t="s">
        <v>1554</v>
      </c>
    </row>
    <row r="25" spans="2:8" x14ac:dyDescent="0.25">
      <c r="B25" s="276" t="s">
        <v>4063</v>
      </c>
      <c r="C25" s="276"/>
      <c r="D25" s="277" t="s">
        <v>4064</v>
      </c>
      <c r="E25" s="276">
        <v>10</v>
      </c>
      <c r="F25" s="285">
        <v>0</v>
      </c>
      <c r="G25" s="208" t="s">
        <v>4026</v>
      </c>
      <c r="H25" t="s">
        <v>4038</v>
      </c>
    </row>
    <row r="26" ht="15" customHeight="1" spans="2:8" x14ac:dyDescent="0.25">
      <c r="B26" t="s">
        <v>4065</v>
      </c>
      <c r="D26" s="273" t="s">
        <v>4066</v>
      </c>
      <c r="E26">
        <v>25</v>
      </c>
      <c r="F26" s="16">
        <v>0</v>
      </c>
      <c r="G26" s="208" t="s">
        <v>4067</v>
      </c>
      <c r="H26" t="s">
        <v>1648</v>
      </c>
    </row>
    <row r="27" ht="15" customHeight="1" spans="1:13" x14ac:dyDescent="0.25">
      <c r="A27" t="s">
        <v>4068</v>
      </c>
      <c r="B27" s="281" t="s">
        <v>4069</v>
      </c>
      <c r="C27" s="281"/>
      <c r="D27" s="282" t="s">
        <v>4070</v>
      </c>
      <c r="E27" s="281">
        <v>44</v>
      </c>
      <c r="F27" s="4">
        <v>1</v>
      </c>
      <c r="G27" s="208" t="s">
        <v>748</v>
      </c>
      <c r="H27" t="s">
        <v>188</v>
      </c>
      <c r="I27" t="s">
        <v>582</v>
      </c>
      <c r="J27" t="s">
        <v>496</v>
      </c>
      <c r="K27" t="s">
        <v>1725</v>
      </c>
      <c r="L27" t="s">
        <v>141</v>
      </c>
      <c r="M27" t="s">
        <v>880</v>
      </c>
    </row>
    <row r="28" spans="2:9" s="14" customFormat="1" x14ac:dyDescent="0.25">
      <c r="B28" s="281" t="s">
        <v>4071</v>
      </c>
      <c r="C28" s="281"/>
      <c r="D28" s="282" t="s">
        <v>4072</v>
      </c>
      <c r="E28" s="281">
        <v>25</v>
      </c>
      <c r="F28" s="4">
        <v>0</v>
      </c>
      <c r="G28" s="208" t="s">
        <v>748</v>
      </c>
      <c r="H28" t="s">
        <v>496</v>
      </c>
      <c r="I28" t="s">
        <v>61</v>
      </c>
    </row>
    <row r="29" spans="2:8" s="16" customFormat="1" x14ac:dyDescent="0.25">
      <c r="B29" s="285" t="s">
        <v>4073</v>
      </c>
      <c r="C29" s="285"/>
      <c r="D29" s="286" t="s">
        <v>4074</v>
      </c>
      <c r="E29" s="285">
        <v>25</v>
      </c>
      <c r="F29" s="283">
        <v>0</v>
      </c>
      <c r="G29" s="287" t="s">
        <v>4075</v>
      </c>
      <c r="H29" s="16" t="s">
        <v>1789</v>
      </c>
    </row>
    <row r="30" spans="2:9" x14ac:dyDescent="0.25">
      <c r="B30" t="s">
        <v>4076</v>
      </c>
      <c r="D30" s="273" t="s">
        <v>4077</v>
      </c>
      <c r="E30">
        <v>13</v>
      </c>
      <c r="F30" s="16">
        <v>0</v>
      </c>
      <c r="H30" t="s">
        <v>4078</v>
      </c>
      <c r="I30" t="s">
        <v>3904</v>
      </c>
    </row>
    <row r="31" spans="2:9" x14ac:dyDescent="0.25">
      <c r="B31" t="s">
        <v>4079</v>
      </c>
      <c r="D31" s="273" t="s">
        <v>4080</v>
      </c>
      <c r="E31">
        <v>25</v>
      </c>
      <c r="F31" s="16">
        <v>0</v>
      </c>
      <c r="G31" s="208" t="s">
        <v>4081</v>
      </c>
      <c r="H31" t="s">
        <v>4082</v>
      </c>
      <c r="I31" t="s">
        <v>682</v>
      </c>
    </row>
    <row r="32" spans="1:13" x14ac:dyDescent="0.25">
      <c r="A32" t="s">
        <v>4083</v>
      </c>
      <c r="B32" t="s">
        <v>4084</v>
      </c>
      <c r="D32" s="273" t="s">
        <v>4085</v>
      </c>
      <c r="E32">
        <v>25</v>
      </c>
      <c r="F32" s="4">
        <v>5</v>
      </c>
      <c r="G32" s="208" t="s">
        <v>4086</v>
      </c>
      <c r="H32" t="s">
        <v>4087</v>
      </c>
      <c r="I32" t="s">
        <v>4088</v>
      </c>
      <c r="J32" t="s">
        <v>1719</v>
      </c>
      <c r="K32" t="s">
        <v>350</v>
      </c>
      <c r="L32" t="s">
        <v>499</v>
      </c>
      <c r="M32" t="s">
        <v>1357</v>
      </c>
    </row>
    <row r="33" spans="2:12" x14ac:dyDescent="0.25">
      <c r="B33" s="276" t="s">
        <v>4089</v>
      </c>
      <c r="C33" s="276"/>
      <c r="D33" s="277" t="s">
        <v>4090</v>
      </c>
      <c r="E33" s="276">
        <v>10</v>
      </c>
      <c r="F33" s="281">
        <v>3</v>
      </c>
      <c r="G33" s="208" t="s">
        <v>4091</v>
      </c>
      <c r="H33" t="s">
        <v>1250</v>
      </c>
      <c r="I33" t="s">
        <v>125</v>
      </c>
      <c r="J33" t="s">
        <v>21</v>
      </c>
      <c r="K33" t="s">
        <v>1594</v>
      </c>
      <c r="L33" t="s">
        <v>1392</v>
      </c>
    </row>
    <row r="34" spans="1:18" x14ac:dyDescent="0.25">
      <c r="A34" t="s">
        <v>4092</v>
      </c>
      <c r="B34" s="276" t="s">
        <v>4093</v>
      </c>
      <c r="C34" s="276"/>
      <c r="D34" s="277" t="s">
        <v>4094</v>
      </c>
      <c r="E34" s="276">
        <v>25</v>
      </c>
      <c r="F34" s="281">
        <v>2</v>
      </c>
      <c r="G34" s="208" t="s">
        <v>4095</v>
      </c>
      <c r="H34" t="s">
        <v>1063</v>
      </c>
      <c r="I34" t="s">
        <v>4096</v>
      </c>
      <c r="J34" t="s">
        <v>1102</v>
      </c>
      <c r="K34" t="s">
        <v>1593</v>
      </c>
      <c r="L34" t="s">
        <v>4097</v>
      </c>
      <c r="M34" t="s">
        <v>547</v>
      </c>
      <c r="N34" t="s">
        <v>952</v>
      </c>
      <c r="O34" t="s">
        <v>275</v>
      </c>
      <c r="P34" t="s">
        <v>1724</v>
      </c>
      <c r="Q34" t="s">
        <v>96</v>
      </c>
      <c r="R34" t="s">
        <v>249</v>
      </c>
    </row>
    <row r="35" spans="1:6" x14ac:dyDescent="0.25">
      <c r="A35" t="s">
        <v>4098</v>
      </c>
      <c r="B35" t="s">
        <v>4099</v>
      </c>
      <c r="C35" s="276"/>
      <c r="D35" s="273" t="s">
        <v>4100</v>
      </c>
      <c r="E35" s="276">
        <v>25</v>
      </c>
      <c r="F35" s="281">
        <v>1</v>
      </c>
    </row>
    <row r="36" spans="2:11" x14ac:dyDescent="0.25">
      <c r="B36" t="s">
        <v>4101</v>
      </c>
      <c r="D36" s="273" t="s">
        <v>4090</v>
      </c>
      <c r="E36">
        <v>10</v>
      </c>
      <c r="F36" s="16">
        <v>0</v>
      </c>
      <c r="G36" s="208" t="s">
        <v>4102</v>
      </c>
      <c r="H36" t="s">
        <v>96</v>
      </c>
      <c r="I36" t="s">
        <v>603</v>
      </c>
      <c r="J36" t="s">
        <v>603</v>
      </c>
      <c r="K36" t="s">
        <v>753</v>
      </c>
    </row>
    <row r="37" spans="1:17" x14ac:dyDescent="0.25">
      <c r="A37" t="s">
        <v>4103</v>
      </c>
      <c r="B37" t="s">
        <v>4104</v>
      </c>
      <c r="C37" s="274">
        <v>5.5</v>
      </c>
      <c r="D37" s="273" t="s">
        <v>4105</v>
      </c>
      <c r="E37">
        <v>25</v>
      </c>
      <c r="F37" s="4">
        <v>2</v>
      </c>
      <c r="G37" s="208" t="s">
        <v>899</v>
      </c>
      <c r="H37" t="s">
        <v>4106</v>
      </c>
      <c r="I37" t="s">
        <v>1686</v>
      </c>
      <c r="J37" t="s">
        <v>1259</v>
      </c>
      <c r="K37" t="s">
        <v>588</v>
      </c>
      <c r="L37" t="s">
        <v>2198</v>
      </c>
      <c r="M37" t="s">
        <v>499</v>
      </c>
      <c r="N37" t="s">
        <v>627</v>
      </c>
      <c r="O37" t="s">
        <v>682</v>
      </c>
      <c r="P37" t="s">
        <v>217</v>
      </c>
      <c r="Q37" t="s">
        <v>219</v>
      </c>
    </row>
    <row r="38" spans="2:8" x14ac:dyDescent="0.25">
      <c r="B38" t="s">
        <v>4107</v>
      </c>
      <c r="D38" s="273" t="s">
        <v>4108</v>
      </c>
      <c r="E38">
        <v>25</v>
      </c>
      <c r="F38" s="16">
        <v>0</v>
      </c>
      <c r="G38" s="208" t="s">
        <v>4109</v>
      </c>
      <c r="H38" t="s">
        <v>71</v>
      </c>
    </row>
    <row r="39" spans="2:11" x14ac:dyDescent="0.25">
      <c r="B39" t="s">
        <v>4110</v>
      </c>
      <c r="D39" s="273" t="s">
        <v>4111</v>
      </c>
      <c r="E39">
        <v>10</v>
      </c>
      <c r="F39" s="16">
        <v>0</v>
      </c>
      <c r="G39" s="208" t="s">
        <v>4026</v>
      </c>
      <c r="H39" t="s">
        <v>1212</v>
      </c>
      <c r="I39" t="s">
        <v>1212</v>
      </c>
      <c r="J39" t="s">
        <v>3781</v>
      </c>
      <c r="K39" t="s">
        <v>795</v>
      </c>
    </row>
    <row r="40" spans="2:7" x14ac:dyDescent="0.25">
      <c r="B40" t="s">
        <v>4112</v>
      </c>
      <c r="D40" s="273" t="s">
        <v>4113</v>
      </c>
      <c r="E40">
        <v>10</v>
      </c>
      <c r="F40" s="16">
        <v>0</v>
      </c>
      <c r="G40" s="208" t="s">
        <v>4114</v>
      </c>
    </row>
    <row r="41" spans="1:22" x14ac:dyDescent="0.25">
      <c r="A41" t="s">
        <v>4115</v>
      </c>
      <c r="B41" t="s">
        <v>4116</v>
      </c>
      <c r="D41" s="273" t="s">
        <v>4117</v>
      </c>
      <c r="E41">
        <v>25</v>
      </c>
      <c r="F41" s="4">
        <v>4</v>
      </c>
      <c r="G41" s="208" t="s">
        <v>356</v>
      </c>
      <c r="H41" t="s">
        <v>806</v>
      </c>
      <c r="I41" t="s">
        <v>62</v>
      </c>
      <c r="J41" t="s">
        <v>583</v>
      </c>
      <c r="L41" t="s">
        <v>4118</v>
      </c>
      <c r="M41" t="s">
        <v>4119</v>
      </c>
      <c r="N41" t="s">
        <v>274</v>
      </c>
      <c r="O41" t="s">
        <v>1901</v>
      </c>
      <c r="P41" t="s">
        <v>1167</v>
      </c>
      <c r="Q41" t="s">
        <v>4120</v>
      </c>
      <c r="R41" t="s">
        <v>958</v>
      </c>
      <c r="S41" t="s">
        <v>1358</v>
      </c>
      <c r="T41" t="s">
        <v>4121</v>
      </c>
      <c r="U41" t="s">
        <v>4122</v>
      </c>
      <c r="V41" t="s">
        <v>565</v>
      </c>
    </row>
    <row r="42" spans="1:12" x14ac:dyDescent="0.25">
      <c r="A42" t="s">
        <v>4123</v>
      </c>
      <c r="B42" t="s">
        <v>4124</v>
      </c>
      <c r="D42" s="273" t="s">
        <v>4125</v>
      </c>
      <c r="E42">
        <v>10</v>
      </c>
      <c r="F42" s="4">
        <v>5</v>
      </c>
      <c r="G42" s="208" t="s">
        <v>1236</v>
      </c>
      <c r="H42" t="s">
        <v>4126</v>
      </c>
      <c r="I42" t="s">
        <v>1718</v>
      </c>
      <c r="J42" t="s">
        <v>986</v>
      </c>
      <c r="K42" t="s">
        <v>1985</v>
      </c>
      <c r="L42" t="s">
        <v>1054</v>
      </c>
    </row>
    <row r="43" spans="1:11" x14ac:dyDescent="0.25">
      <c r="A43" t="s">
        <v>4127</v>
      </c>
      <c r="B43" t="s">
        <v>4128</v>
      </c>
      <c r="C43" s="274">
        <v>6.1</v>
      </c>
      <c r="D43" s="273" t="s">
        <v>4129</v>
      </c>
      <c r="E43">
        <v>15</v>
      </c>
      <c r="F43" s="4">
        <v>1</v>
      </c>
      <c r="G43" s="208" t="s">
        <v>4130</v>
      </c>
      <c r="H43" t="s">
        <v>22</v>
      </c>
      <c r="I43" t="s">
        <v>1212</v>
      </c>
      <c r="J43" t="s">
        <v>1008</v>
      </c>
      <c r="K43" t="s">
        <v>1718</v>
      </c>
    </row>
    <row r="44" spans="1:17" x14ac:dyDescent="0.25">
      <c r="A44" t="s">
        <v>4131</v>
      </c>
      <c r="B44" t="s">
        <v>4132</v>
      </c>
      <c r="C44" s="274">
        <v>6.1</v>
      </c>
      <c r="D44" s="273" t="s">
        <v>4133</v>
      </c>
      <c r="E44">
        <v>25</v>
      </c>
      <c r="F44" s="4">
        <v>2</v>
      </c>
      <c r="G44" s="208" t="s">
        <v>3984</v>
      </c>
      <c r="H44" t="s">
        <v>1686</v>
      </c>
      <c r="I44" t="s">
        <v>2898</v>
      </c>
      <c r="J44" t="s">
        <v>992</v>
      </c>
      <c r="K44" t="s">
        <v>265</v>
      </c>
      <c r="L44" t="s">
        <v>4134</v>
      </c>
      <c r="M44" t="s">
        <v>539</v>
      </c>
      <c r="N44" t="s">
        <v>1556</v>
      </c>
      <c r="O44" t="s">
        <v>49</v>
      </c>
      <c r="P44" t="s">
        <v>424</v>
      </c>
      <c r="Q44" t="s">
        <v>553</v>
      </c>
    </row>
    <row r="45" spans="2:9" x14ac:dyDescent="0.25">
      <c r="B45" t="s">
        <v>4135</v>
      </c>
      <c r="C45" s="274">
        <v>6.1</v>
      </c>
      <c r="D45" s="273" t="s">
        <v>4136</v>
      </c>
      <c r="E45">
        <v>25</v>
      </c>
      <c r="F45" s="16">
        <v>0</v>
      </c>
      <c r="G45" s="208" t="s">
        <v>4026</v>
      </c>
      <c r="I45" t="s">
        <v>1522</v>
      </c>
    </row>
    <row r="46" spans="2:14" x14ac:dyDescent="0.25">
      <c r="B46" t="s">
        <v>4137</v>
      </c>
      <c r="C46">
        <v>6.5</v>
      </c>
      <c r="D46" s="273" t="s">
        <v>4138</v>
      </c>
      <c r="E46">
        <v>10</v>
      </c>
      <c r="F46" s="4">
        <v>0</v>
      </c>
      <c r="G46" s="208" t="s">
        <v>4005</v>
      </c>
      <c r="H46" t="s">
        <v>4139</v>
      </c>
      <c r="I46" t="s">
        <v>703</v>
      </c>
      <c r="J46" t="s">
        <v>1719</v>
      </c>
      <c r="K46" t="s">
        <v>497</v>
      </c>
      <c r="L46" t="s">
        <v>231</v>
      </c>
      <c r="M46" t="s">
        <v>501</v>
      </c>
      <c r="N46" t="s">
        <v>238</v>
      </c>
    </row>
    <row r="47" spans="1:15" x14ac:dyDescent="0.25">
      <c r="A47" t="s">
        <v>4140</v>
      </c>
      <c r="B47" t="s">
        <v>4141</v>
      </c>
      <c r="C47">
        <v>6.5</v>
      </c>
      <c r="D47" s="273" t="s">
        <v>4142</v>
      </c>
      <c r="E47">
        <v>25</v>
      </c>
      <c r="F47" s="4">
        <v>1</v>
      </c>
      <c r="G47" s="208" t="s">
        <v>3984</v>
      </c>
      <c r="H47" t="s">
        <v>1716</v>
      </c>
      <c r="I47" t="s">
        <v>545</v>
      </c>
      <c r="J47" t="s">
        <v>1392</v>
      </c>
      <c r="K47" t="s">
        <v>500</v>
      </c>
      <c r="L47" t="s">
        <v>1307</v>
      </c>
      <c r="M47" t="s">
        <v>119</v>
      </c>
      <c r="N47" t="s">
        <v>491</v>
      </c>
      <c r="O47" t="s">
        <v>1041</v>
      </c>
    </row>
    <row r="48" spans="2:10" x14ac:dyDescent="0.25">
      <c r="B48" t="s">
        <v>4143</v>
      </c>
      <c r="D48" s="273" t="s">
        <v>4144</v>
      </c>
      <c r="E48">
        <v>25</v>
      </c>
      <c r="F48" s="16">
        <v>0</v>
      </c>
      <c r="G48" s="208" t="s">
        <v>4034</v>
      </c>
      <c r="H48" t="s">
        <v>4145</v>
      </c>
      <c r="I48" t="s">
        <v>4146</v>
      </c>
      <c r="J48" t="s">
        <v>1307</v>
      </c>
    </row>
    <row r="49" spans="1:27" x14ac:dyDescent="0.25">
      <c r="A49" t="s">
        <v>4147</v>
      </c>
      <c r="B49" t="s">
        <v>4148</v>
      </c>
      <c r="C49">
        <v>8</v>
      </c>
      <c r="D49" s="273" t="s">
        <v>4149</v>
      </c>
      <c r="E49">
        <v>25</v>
      </c>
      <c r="F49" s="4">
        <v>3</v>
      </c>
      <c r="G49" s="208" t="s">
        <v>168</v>
      </c>
      <c r="H49" t="s">
        <v>46</v>
      </c>
      <c r="I49" t="s">
        <v>722</v>
      </c>
      <c r="J49" t="s">
        <v>1303</v>
      </c>
      <c r="K49" t="s">
        <v>583</v>
      </c>
      <c r="L49" t="s">
        <v>426</v>
      </c>
      <c r="N49" t="s">
        <v>2539</v>
      </c>
      <c r="O49" t="s">
        <v>509</v>
      </c>
      <c r="P49" t="s">
        <v>4150</v>
      </c>
      <c r="Q49" t="s">
        <v>4151</v>
      </c>
      <c r="R49" t="s">
        <v>4152</v>
      </c>
      <c r="S49" t="s">
        <v>4153</v>
      </c>
      <c r="T49" t="s">
        <v>1392</v>
      </c>
      <c r="U49" t="s">
        <v>1939</v>
      </c>
      <c r="V49" t="s">
        <v>245</v>
      </c>
      <c r="W49" t="s">
        <v>275</v>
      </c>
      <c r="X49" t="s">
        <v>4154</v>
      </c>
      <c r="Y49" t="s">
        <v>650</v>
      </c>
      <c r="Z49" t="s">
        <v>789</v>
      </c>
      <c r="AA49" t="s">
        <v>2070</v>
      </c>
    </row>
    <row r="50" spans="2:10" x14ac:dyDescent="0.25">
      <c r="B50" t="s">
        <v>4155</v>
      </c>
      <c r="C50">
        <v>8</v>
      </c>
      <c r="D50" s="273" t="s">
        <v>4156</v>
      </c>
      <c r="E50">
        <v>25</v>
      </c>
      <c r="F50" s="16">
        <v>0</v>
      </c>
      <c r="G50" s="208" t="s">
        <v>4017</v>
      </c>
      <c r="H50" t="s">
        <v>1402</v>
      </c>
      <c r="I50" t="s">
        <v>952</v>
      </c>
      <c r="J50" t="s">
        <v>120</v>
      </c>
    </row>
    <row r="51" spans="1:7" s="14" customFormat="1" x14ac:dyDescent="0.25">
      <c r="A51" s="4" t="s">
        <v>4157</v>
      </c>
      <c r="B51" s="281" t="s">
        <v>4158</v>
      </c>
      <c r="C51" s="281"/>
      <c r="D51" s="282" t="s">
        <v>4159</v>
      </c>
      <c r="E51" s="281">
        <v>25</v>
      </c>
      <c r="F51" s="4">
        <v>1</v>
      </c>
      <c r="G51" s="208"/>
    </row>
    <row r="52" spans="1:6" x14ac:dyDescent="0.25">
      <c r="A52" t="s">
        <v>2393</v>
      </c>
      <c r="B52" s="281" t="s">
        <v>4160</v>
      </c>
      <c r="C52" s="281"/>
      <c r="D52" s="282" t="s">
        <v>4161</v>
      </c>
      <c r="E52" s="281">
        <v>25</v>
      </c>
      <c r="F52" s="4">
        <v>1</v>
      </c>
    </row>
    <row r="53" spans="2:8" x14ac:dyDescent="0.25">
      <c r="B53" s="281" t="s">
        <v>4162</v>
      </c>
      <c r="C53" s="281"/>
      <c r="D53" s="282" t="s">
        <v>4163</v>
      </c>
      <c r="E53" s="281">
        <v>25</v>
      </c>
      <c r="F53" s="16">
        <v>0</v>
      </c>
      <c r="H53" t="s">
        <v>680</v>
      </c>
    </row>
    <row r="54" spans="1:9" x14ac:dyDescent="0.25">
      <c r="A54" t="s">
        <v>4164</v>
      </c>
      <c r="B54" t="s">
        <v>4165</v>
      </c>
      <c r="D54" s="273" t="s">
        <v>4166</v>
      </c>
      <c r="E54">
        <v>10</v>
      </c>
      <c r="F54" s="4">
        <v>1</v>
      </c>
      <c r="G54" s="208" t="s">
        <v>4167</v>
      </c>
      <c r="H54" t="s">
        <v>3769</v>
      </c>
      <c r="I54" t="s">
        <v>3754</v>
      </c>
    </row>
    <row r="55" spans="2:9" x14ac:dyDescent="0.25">
      <c r="B55" t="s">
        <v>4168</v>
      </c>
      <c r="D55" s="273" t="s">
        <v>4169</v>
      </c>
      <c r="E55">
        <v>10</v>
      </c>
      <c r="F55" s="16">
        <v>0</v>
      </c>
      <c r="G55" s="208" t="s">
        <v>4167</v>
      </c>
      <c r="H55" t="s">
        <v>1607</v>
      </c>
      <c r="I55" t="s">
        <v>1495</v>
      </c>
    </row>
    <row r="56" spans="2:7" x14ac:dyDescent="0.25">
      <c r="B56" t="s">
        <v>4170</v>
      </c>
      <c r="D56" s="273" t="s">
        <v>4171</v>
      </c>
      <c r="E56">
        <v>8</v>
      </c>
      <c r="F56" s="16">
        <v>0</v>
      </c>
      <c r="G56" s="208" t="s">
        <v>4172</v>
      </c>
    </row>
    <row r="57" spans="1:7" x14ac:dyDescent="0.25">
      <c r="A57" t="s">
        <v>4173</v>
      </c>
      <c r="B57" t="s">
        <v>4174</v>
      </c>
      <c r="D57" s="273" t="s">
        <v>4175</v>
      </c>
      <c r="E57">
        <v>10</v>
      </c>
      <c r="F57" s="4">
        <v>4</v>
      </c>
      <c r="G57" s="208" t="s">
        <v>4172</v>
      </c>
    </row>
    <row r="58" spans="2:9" x14ac:dyDescent="0.25">
      <c r="B58" t="s">
        <v>4176</v>
      </c>
      <c r="D58" s="273" t="s">
        <v>4177</v>
      </c>
      <c r="E58" s="281">
        <v>5</v>
      </c>
      <c r="F58" s="16">
        <v>0</v>
      </c>
      <c r="G58" s="208" t="s">
        <v>4167</v>
      </c>
      <c r="H58" t="s">
        <v>106</v>
      </c>
      <c r="I58" t="s">
        <v>4042</v>
      </c>
    </row>
    <row r="59" spans="1:10" x14ac:dyDescent="0.25">
      <c r="A59" t="s">
        <v>4178</v>
      </c>
      <c r="B59" s="281" t="s">
        <v>4179</v>
      </c>
      <c r="C59" s="281"/>
      <c r="D59" s="273" t="s">
        <v>4180</v>
      </c>
      <c r="E59" s="281">
        <v>10</v>
      </c>
      <c r="F59" s="4">
        <v>1</v>
      </c>
      <c r="H59" t="s">
        <v>1443</v>
      </c>
      <c r="I59" t="s">
        <v>216</v>
      </c>
      <c r="J59" t="s">
        <v>565</v>
      </c>
    </row>
    <row r="60" spans="2:10" x14ac:dyDescent="0.25">
      <c r="B60" t="s">
        <v>4181</v>
      </c>
      <c r="D60" s="273" t="s">
        <v>4182</v>
      </c>
      <c r="E60" s="281">
        <v>10</v>
      </c>
      <c r="F60" s="16">
        <v>1</v>
      </c>
      <c r="G60" s="208" t="s">
        <v>4183</v>
      </c>
      <c r="H60" t="s">
        <v>704</v>
      </c>
      <c r="I60" t="s">
        <v>105</v>
      </c>
      <c r="J60" t="s">
        <v>436</v>
      </c>
    </row>
    <row r="61" spans="2:10" x14ac:dyDescent="0.25">
      <c r="B61" t="s">
        <v>4184</v>
      </c>
      <c r="D61" s="273" t="s">
        <v>4185</v>
      </c>
      <c r="E61" s="281">
        <v>10</v>
      </c>
      <c r="F61" s="16">
        <v>0</v>
      </c>
      <c r="H61" t="s">
        <v>191</v>
      </c>
      <c r="I61" t="s">
        <v>1392</v>
      </c>
      <c r="J61" s="209" t="s">
        <v>4186</v>
      </c>
    </row>
    <row r="62" spans="1:11" x14ac:dyDescent="0.25">
      <c r="A62" t="s">
        <v>4187</v>
      </c>
      <c r="B62" t="s">
        <v>4188</v>
      </c>
      <c r="D62" s="273" t="s">
        <v>4189</v>
      </c>
      <c r="E62" s="281">
        <v>10</v>
      </c>
      <c r="F62" s="4">
        <v>2</v>
      </c>
      <c r="G62" s="208" t="s">
        <v>4167</v>
      </c>
      <c r="H62" t="s">
        <v>703</v>
      </c>
      <c r="I62" t="s">
        <v>1716</v>
      </c>
      <c r="J62" t="s">
        <v>4190</v>
      </c>
      <c r="K62" t="s">
        <v>539</v>
      </c>
    </row>
    <row r="63" spans="2:11" s="14" customFormat="1" x14ac:dyDescent="0.25">
      <c r="B63" s="281" t="s">
        <v>4191</v>
      </c>
      <c r="C63" s="281"/>
      <c r="D63" s="273" t="s">
        <v>4192</v>
      </c>
      <c r="E63" s="281">
        <v>10</v>
      </c>
      <c r="F63" s="16">
        <v>0</v>
      </c>
      <c r="G63" s="208" t="s">
        <v>4193</v>
      </c>
      <c r="H63" t="s">
        <v>4194</v>
      </c>
      <c r="I63" t="s">
        <v>4195</v>
      </c>
      <c r="J63" t="s">
        <v>602</v>
      </c>
      <c r="K63" t="s">
        <v>642</v>
      </c>
    </row>
    <row r="64" spans="2:10" s="14" customFormat="1" x14ac:dyDescent="0.25">
      <c r="B64" t="s">
        <v>4196</v>
      </c>
      <c r="D64" s="273" t="s">
        <v>4197</v>
      </c>
      <c r="E64" s="281">
        <v>10</v>
      </c>
      <c r="F64" s="16">
        <v>0</v>
      </c>
      <c r="G64" s="208" t="s">
        <v>4167</v>
      </c>
      <c r="H64" t="s">
        <v>4198</v>
      </c>
      <c r="I64" t="s">
        <v>4199</v>
      </c>
      <c r="J64" t="s">
        <v>4200</v>
      </c>
    </row>
    <row r="65" spans="2:8" x14ac:dyDescent="0.25">
      <c r="B65" s="281" t="s">
        <v>4201</v>
      </c>
      <c r="C65" s="281"/>
      <c r="D65" s="282" t="s">
        <v>4202</v>
      </c>
      <c r="E65" s="281">
        <v>32</v>
      </c>
      <c r="F65" s="285">
        <v>0</v>
      </c>
      <c r="G65" s="288" t="s">
        <v>4203</v>
      </c>
      <c r="H65" t="s">
        <v>4204</v>
      </c>
    </row>
    <row r="66" spans="2:24" x14ac:dyDescent="0.25">
      <c r="B66" s="164" t="s">
        <v>4205</v>
      </c>
      <c r="C66" s="164"/>
      <c r="D66" s="289" t="s">
        <v>4206</v>
      </c>
      <c r="E66" s="164">
        <v>29</v>
      </c>
      <c r="F66" s="283">
        <v>0</v>
      </c>
      <c r="G66" s="210" t="s">
        <v>4207</v>
      </c>
      <c r="H66" s="4" t="s">
        <v>4208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2:8" x14ac:dyDescent="0.25">
      <c r="B67" t="s">
        <v>4209</v>
      </c>
      <c r="D67" s="273" t="s">
        <v>4210</v>
      </c>
      <c r="E67">
        <v>18</v>
      </c>
      <c r="F67" s="16">
        <v>0</v>
      </c>
      <c r="G67" s="208" t="s">
        <v>4203</v>
      </c>
      <c r="H67" s="4" t="s">
        <v>2133</v>
      </c>
    </row>
    <row r="68" spans="2:6" x14ac:dyDescent="0.25">
      <c r="B68" s="290" t="s">
        <v>4211</v>
      </c>
      <c r="C68" s="290"/>
      <c r="D68" s="291" t="s">
        <v>4212</v>
      </c>
      <c r="E68" s="290">
        <v>36</v>
      </c>
      <c r="F68" s="290"/>
    </row>
    <row r="69" spans="2:11" x14ac:dyDescent="0.25">
      <c r="B69" s="281" t="s">
        <v>4213</v>
      </c>
      <c r="C69" s="281"/>
      <c r="D69" s="289" t="s">
        <v>4214</v>
      </c>
      <c r="E69" s="281">
        <v>3</v>
      </c>
      <c r="F69" s="285">
        <v>0</v>
      </c>
      <c r="G69" s="288" t="s">
        <v>4109</v>
      </c>
      <c r="H69" s="4" t="s">
        <v>22</v>
      </c>
      <c r="I69" s="4" t="s">
        <v>2490</v>
      </c>
      <c r="J69" t="s">
        <v>4215</v>
      </c>
      <c r="K69" t="s">
        <v>95</v>
      </c>
    </row>
    <row r="70" spans="2:24" x14ac:dyDescent="0.25">
      <c r="B70" s="164" t="s">
        <v>4216</v>
      </c>
      <c r="C70" s="164"/>
      <c r="D70" s="292" t="s">
        <v>4217</v>
      </c>
      <c r="E70" s="164">
        <v>3</v>
      </c>
      <c r="F70" s="283">
        <v>0</v>
      </c>
      <c r="G70" s="210" t="s">
        <v>4091</v>
      </c>
      <c r="H70" s="4" t="s">
        <v>4218</v>
      </c>
      <c r="I70" s="4" t="s">
        <v>2142</v>
      </c>
      <c r="J70" s="4" t="s">
        <v>95</v>
      </c>
      <c r="K70" s="4" t="s">
        <v>4219</v>
      </c>
      <c r="L70" s="4" t="s">
        <v>1365</v>
      </c>
      <c r="M70" s="4" t="s">
        <v>497</v>
      </c>
      <c r="N70" s="4" t="s">
        <v>498</v>
      </c>
      <c r="O70" s="4" t="s">
        <v>2078</v>
      </c>
      <c r="P70" s="4" t="s">
        <v>499</v>
      </c>
      <c r="Q70" s="4"/>
      <c r="R70" s="4"/>
      <c r="S70" s="4"/>
      <c r="T70" s="4"/>
      <c r="U70" s="4"/>
      <c r="V70" s="4"/>
      <c r="W70" s="4"/>
      <c r="X70" s="4"/>
    </row>
    <row r="71" spans="2:7" x14ac:dyDescent="0.25">
      <c r="B71" t="s">
        <v>4220</v>
      </c>
      <c r="D71" s="273" t="s">
        <v>4221</v>
      </c>
      <c r="E71">
        <v>22</v>
      </c>
      <c r="F71" s="16">
        <v>0</v>
      </c>
      <c r="G71" s="208" t="s">
        <v>4222</v>
      </c>
    </row>
    <row r="72" spans="2:24" x14ac:dyDescent="0.25">
      <c r="B72" s="164" t="s">
        <v>4223</v>
      </c>
      <c r="C72" s="164"/>
      <c r="D72" s="292" t="s">
        <v>4224</v>
      </c>
      <c r="E72" s="164">
        <v>3</v>
      </c>
      <c r="F72" s="283">
        <v>0</v>
      </c>
      <c r="G72" s="210" t="s">
        <v>4005</v>
      </c>
      <c r="H72" s="4" t="s">
        <v>909</v>
      </c>
      <c r="I72" s="4" t="s">
        <v>4225</v>
      </c>
      <c r="J72" s="4" t="s">
        <v>3781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2:24" x14ac:dyDescent="0.25">
      <c r="B73" s="164" t="s">
        <v>4226</v>
      </c>
      <c r="C73" s="164"/>
      <c r="D73" s="292" t="s">
        <v>4227</v>
      </c>
      <c r="E73" s="164">
        <v>3</v>
      </c>
      <c r="F73" s="283">
        <v>0</v>
      </c>
      <c r="G73" s="210"/>
      <c r="H73" s="4" t="s">
        <v>3822</v>
      </c>
      <c r="I73" s="4" t="s">
        <v>71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2:24" x14ac:dyDescent="0.25">
      <c r="B74" s="164" t="s">
        <v>4228</v>
      </c>
      <c r="C74" s="164"/>
      <c r="D74" s="292" t="s">
        <v>4229</v>
      </c>
      <c r="E74" s="164">
        <v>3</v>
      </c>
      <c r="F74" s="164">
        <v>2</v>
      </c>
      <c r="G74" s="210" t="s">
        <v>4230</v>
      </c>
      <c r="H74" s="4" t="s">
        <v>71</v>
      </c>
      <c r="I74" s="4" t="s">
        <v>2147</v>
      </c>
      <c r="J74" s="4" t="s">
        <v>4231</v>
      </c>
      <c r="K74" s="4" t="s">
        <v>1008</v>
      </c>
      <c r="L74" s="4" t="s">
        <v>4232</v>
      </c>
      <c r="M74" s="4" t="s">
        <v>496</v>
      </c>
      <c r="N74" s="4" t="s">
        <v>95</v>
      </c>
      <c r="O74" s="4" t="s">
        <v>313</v>
      </c>
      <c r="P74" s="4"/>
      <c r="Q74" s="4"/>
      <c r="R74" s="4"/>
      <c r="S74" s="4"/>
      <c r="T74" s="4"/>
      <c r="U74" s="4"/>
      <c r="V74" s="4"/>
      <c r="W74" s="4"/>
      <c r="X74" s="4"/>
    </row>
    <row r="75" spans="2:9" x14ac:dyDescent="0.25">
      <c r="B75" t="s">
        <v>4233</v>
      </c>
      <c r="D75" s="273" t="s">
        <v>4234</v>
      </c>
      <c r="E75">
        <v>42</v>
      </c>
      <c r="F75" s="16">
        <v>0</v>
      </c>
      <c r="G75" s="208" t="s">
        <v>4034</v>
      </c>
      <c r="H75" t="s">
        <v>4235</v>
      </c>
      <c r="I75" t="s">
        <v>2785</v>
      </c>
    </row>
    <row r="76" spans="2:7" x14ac:dyDescent="0.25">
      <c r="B76" t="s">
        <v>4236</v>
      </c>
      <c r="D76" s="273" t="s">
        <v>4237</v>
      </c>
      <c r="E76">
        <v>20</v>
      </c>
      <c r="F76" s="16">
        <v>0</v>
      </c>
      <c r="G76" s="208" t="s">
        <v>4203</v>
      </c>
    </row>
    <row r="77" spans="2:8" x14ac:dyDescent="0.25">
      <c r="B77" t="s">
        <v>4238</v>
      </c>
      <c r="D77" s="273" t="s">
        <v>4239</v>
      </c>
      <c r="E77">
        <v>32</v>
      </c>
      <c r="F77" s="16">
        <v>0</v>
      </c>
      <c r="H77" t="s">
        <v>860</v>
      </c>
    </row>
    <row r="78" spans="2:6" x14ac:dyDescent="0.25">
      <c r="B78" t="s">
        <v>4240</v>
      </c>
      <c r="D78" s="273" t="s">
        <v>4241</v>
      </c>
      <c r="E78">
        <v>20</v>
      </c>
      <c r="F78" s="16">
        <v>0</v>
      </c>
    </row>
    <row r="79" spans="2:7" x14ac:dyDescent="0.25">
      <c r="B79" t="s">
        <v>4242</v>
      </c>
      <c r="D79" s="273" t="s">
        <v>4243</v>
      </c>
      <c r="E79">
        <v>32</v>
      </c>
      <c r="F79" s="16">
        <v>0</v>
      </c>
      <c r="G79" s="208" t="s">
        <v>4244</v>
      </c>
    </row>
    <row r="80" spans="2:9" x14ac:dyDescent="0.25">
      <c r="B80" t="s">
        <v>4245</v>
      </c>
      <c r="D80" s="273" t="s">
        <v>4246</v>
      </c>
      <c r="E80">
        <v>20</v>
      </c>
      <c r="F80" s="16">
        <v>0</v>
      </c>
      <c r="G80" s="208" t="s">
        <v>4109</v>
      </c>
      <c r="H80" t="s">
        <v>4247</v>
      </c>
      <c r="I80" t="s">
        <v>71</v>
      </c>
    </row>
    <row r="81" spans="2:24" x14ac:dyDescent="0.25">
      <c r="B81" s="164" t="s">
        <v>4248</v>
      </c>
      <c r="C81" s="164"/>
      <c r="D81" s="289" t="s">
        <v>4249</v>
      </c>
      <c r="E81" s="164">
        <v>15</v>
      </c>
      <c r="F81" s="283">
        <v>0</v>
      </c>
      <c r="G81" s="210" t="s">
        <v>4250</v>
      </c>
      <c r="H81" s="4" t="s">
        <v>4038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2:9" x14ac:dyDescent="0.25">
      <c r="B82" t="s">
        <v>4251</v>
      </c>
      <c r="D82" s="273" t="s">
        <v>4252</v>
      </c>
      <c r="E82">
        <v>29</v>
      </c>
      <c r="F82" s="16">
        <v>0</v>
      </c>
      <c r="G82" s="208" t="s">
        <v>4244</v>
      </c>
      <c r="H82" t="s">
        <v>93</v>
      </c>
      <c r="I82" t="s">
        <v>507</v>
      </c>
    </row>
    <row r="83" spans="2:9" x14ac:dyDescent="0.25">
      <c r="B83" t="s">
        <v>4253</v>
      </c>
      <c r="D83" s="273" t="s">
        <v>4254</v>
      </c>
      <c r="E83">
        <v>42</v>
      </c>
      <c r="F83" s="16">
        <v>0</v>
      </c>
      <c r="H83" t="s">
        <v>1523</v>
      </c>
      <c r="I83" t="s">
        <v>545</v>
      </c>
    </row>
    <row r="84" spans="2:6" x14ac:dyDescent="0.25">
      <c r="B84" t="s">
        <v>4255</v>
      </c>
      <c r="D84" s="273" t="s">
        <v>4256</v>
      </c>
      <c r="E84">
        <v>32</v>
      </c>
      <c r="F84" s="16">
        <v>0</v>
      </c>
    </row>
    <row r="85" spans="2:8" x14ac:dyDescent="0.25">
      <c r="B85" t="s">
        <v>4257</v>
      </c>
      <c r="D85" s="273" t="s">
        <v>4258</v>
      </c>
      <c r="E85">
        <v>20</v>
      </c>
      <c r="F85" s="16">
        <v>0</v>
      </c>
      <c r="H85" t="s">
        <v>4259</v>
      </c>
    </row>
    <row r="86" spans="2:7" x14ac:dyDescent="0.25">
      <c r="B86" t="s">
        <v>4260</v>
      </c>
      <c r="D86" s="273" t="s">
        <v>4261</v>
      </c>
      <c r="E86">
        <v>39</v>
      </c>
      <c r="F86" s="16">
        <v>0</v>
      </c>
      <c r="G86" s="208" t="s">
        <v>4244</v>
      </c>
    </row>
    <row r="87" spans="2:7" x14ac:dyDescent="0.25">
      <c r="B87" t="s">
        <v>4262</v>
      </c>
      <c r="D87" s="273" t="s">
        <v>4263</v>
      </c>
      <c r="E87">
        <v>32</v>
      </c>
      <c r="F87" s="16">
        <v>0</v>
      </c>
      <c r="G87" s="208" t="s">
        <v>4264</v>
      </c>
    </row>
    <row r="88" spans="2:24" x14ac:dyDescent="0.25">
      <c r="B88" s="164" t="s">
        <v>4265</v>
      </c>
      <c r="C88" s="164"/>
      <c r="D88" s="289" t="s">
        <v>4266</v>
      </c>
      <c r="E88" s="164">
        <v>29</v>
      </c>
      <c r="F88" s="283">
        <v>0</v>
      </c>
      <c r="G88" s="210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2:20" x14ac:dyDescent="0.25">
      <c r="B89" t="s">
        <v>4267</v>
      </c>
      <c r="D89" s="292" t="s">
        <v>4268</v>
      </c>
      <c r="E89">
        <v>3</v>
      </c>
      <c r="F89" s="16">
        <v>0</v>
      </c>
      <c r="G89" s="208" t="s">
        <v>4269</v>
      </c>
      <c r="H89" s="209" t="s">
        <v>106</v>
      </c>
      <c r="I89" s="4" t="s">
        <v>22</v>
      </c>
      <c r="J89" t="s">
        <v>777</v>
      </c>
      <c r="K89" t="s">
        <v>3781</v>
      </c>
      <c r="L89" t="s">
        <v>95</v>
      </c>
      <c r="M89" t="s">
        <v>509</v>
      </c>
      <c r="N89" t="s">
        <v>2153</v>
      </c>
      <c r="O89" t="s">
        <v>713</v>
      </c>
      <c r="P89" t="s">
        <v>191</v>
      </c>
      <c r="Q89" t="s">
        <v>1082</v>
      </c>
      <c r="R89" t="s">
        <v>2437</v>
      </c>
      <c r="S89" t="s">
        <v>1581</v>
      </c>
      <c r="T89" t="s">
        <v>293</v>
      </c>
    </row>
    <row r="90" spans="2:8" x14ac:dyDescent="0.25">
      <c r="B90" t="s">
        <v>4270</v>
      </c>
      <c r="D90" s="273" t="s">
        <v>4271</v>
      </c>
      <c r="E90">
        <v>29</v>
      </c>
      <c r="F90" s="16">
        <v>0</v>
      </c>
      <c r="G90" s="208" t="s">
        <v>4026</v>
      </c>
      <c r="H90" t="s">
        <v>2785</v>
      </c>
    </row>
    <row r="91" spans="2:8" x14ac:dyDescent="0.25">
      <c r="B91" t="s">
        <v>4272</v>
      </c>
      <c r="D91" s="273" t="s">
        <v>4273</v>
      </c>
      <c r="E91">
        <v>10</v>
      </c>
      <c r="F91" s="16">
        <v>0</v>
      </c>
      <c r="G91" s="208" t="s">
        <v>4222</v>
      </c>
      <c r="H91" t="s">
        <v>2785</v>
      </c>
    </row>
    <row r="92" spans="1:10" x14ac:dyDescent="0.25">
      <c r="A92" t="s">
        <v>4274</v>
      </c>
      <c r="B92" t="s">
        <v>4275</v>
      </c>
      <c r="D92" s="273" t="s">
        <v>4276</v>
      </c>
      <c r="E92">
        <v>10</v>
      </c>
      <c r="F92" s="4">
        <v>3</v>
      </c>
      <c r="G92" s="208" t="s">
        <v>4277</v>
      </c>
      <c r="H92" t="s">
        <v>2785</v>
      </c>
      <c r="I92" t="s">
        <v>4278</v>
      </c>
      <c r="J92" t="s">
        <v>1205</v>
      </c>
    </row>
    <row r="93" spans="1:10" x14ac:dyDescent="0.25">
      <c r="A93" t="s">
        <v>4279</v>
      </c>
      <c r="B93" t="s">
        <v>4280</v>
      </c>
      <c r="D93" s="273" t="s">
        <v>4281</v>
      </c>
      <c r="E93">
        <v>10</v>
      </c>
      <c r="F93" s="4">
        <v>2</v>
      </c>
      <c r="G93" s="208" t="s">
        <v>4282</v>
      </c>
      <c r="H93" t="s">
        <v>1633</v>
      </c>
      <c r="I93" t="s">
        <v>2728</v>
      </c>
      <c r="J93" t="s">
        <v>539</v>
      </c>
    </row>
    <row r="94" spans="2:11" x14ac:dyDescent="0.25">
      <c r="B94" t="s">
        <v>4283</v>
      </c>
      <c r="D94" s="273" t="s">
        <v>4284</v>
      </c>
      <c r="E94">
        <v>10</v>
      </c>
      <c r="F94" s="16">
        <v>0</v>
      </c>
      <c r="G94" s="208" t="s">
        <v>4277</v>
      </c>
      <c r="H94" t="s">
        <v>4285</v>
      </c>
      <c r="I94" t="s">
        <v>3801</v>
      </c>
      <c r="J94" t="s">
        <v>536</v>
      </c>
      <c r="K94" t="s">
        <v>4286</v>
      </c>
    </row>
    <row r="95" spans="1:9" x14ac:dyDescent="0.25">
      <c r="A95" t="s">
        <v>4287</v>
      </c>
      <c r="B95" t="s">
        <v>4288</v>
      </c>
      <c r="D95" s="273" t="s">
        <v>4289</v>
      </c>
      <c r="E95">
        <v>10</v>
      </c>
      <c r="F95" s="4">
        <v>2</v>
      </c>
      <c r="G95" s="208" t="s">
        <v>4167</v>
      </c>
      <c r="H95" t="s">
        <v>1054</v>
      </c>
      <c r="I95" t="s">
        <v>539</v>
      </c>
    </row>
    <row r="96" spans="2:9" x14ac:dyDescent="0.25">
      <c r="B96" t="s">
        <v>4290</v>
      </c>
      <c r="D96" s="273" t="s">
        <v>4291</v>
      </c>
      <c r="E96">
        <v>10</v>
      </c>
      <c r="F96" s="16">
        <v>0</v>
      </c>
      <c r="G96" s="208" t="s">
        <v>4167</v>
      </c>
      <c r="H96" t="s">
        <v>4292</v>
      </c>
      <c r="I96" t="s">
        <v>1535</v>
      </c>
    </row>
    <row r="97" spans="1:8" x14ac:dyDescent="0.25">
      <c r="A97" t="s">
        <v>4293</v>
      </c>
      <c r="B97" t="s">
        <v>4294</v>
      </c>
      <c r="D97" s="273" t="s">
        <v>4295</v>
      </c>
      <c r="E97">
        <v>4</v>
      </c>
      <c r="F97" s="4">
        <v>2</v>
      </c>
      <c r="G97" s="208" t="s">
        <v>4277</v>
      </c>
      <c r="H97" t="s">
        <v>117</v>
      </c>
    </row>
    <row r="98" spans="1:7" x14ac:dyDescent="0.25">
      <c r="A98" t="s">
        <v>4296</v>
      </c>
      <c r="B98" t="s">
        <v>4297</v>
      </c>
      <c r="D98" s="273" t="s">
        <v>4298</v>
      </c>
      <c r="E98">
        <v>4</v>
      </c>
      <c r="F98" s="4">
        <v>2</v>
      </c>
      <c r="G98" s="208" t="s">
        <v>4277</v>
      </c>
    </row>
    <row r="99" spans="2:9" x14ac:dyDescent="0.25">
      <c r="B99" t="s">
        <v>4299</v>
      </c>
      <c r="D99" s="273" t="s">
        <v>4300</v>
      </c>
      <c r="E99">
        <v>6</v>
      </c>
      <c r="F99" s="4" t="s">
        <v>4301</v>
      </c>
      <c r="G99" s="208" t="s">
        <v>4302</v>
      </c>
      <c r="H99" t="s">
        <v>4303</v>
      </c>
      <c r="I99" t="s">
        <v>4304</v>
      </c>
    </row>
    <row r="100" spans="1:8" x14ac:dyDescent="0.25">
      <c r="A100" t="s">
        <v>4293</v>
      </c>
      <c r="B100" t="s">
        <v>4305</v>
      </c>
      <c r="D100" s="273" t="s">
        <v>4306</v>
      </c>
      <c r="E100">
        <v>10</v>
      </c>
      <c r="F100" s="4">
        <v>2</v>
      </c>
      <c r="G100" s="208" t="s">
        <v>4222</v>
      </c>
      <c r="H100" t="s">
        <v>1716</v>
      </c>
    </row>
    <row r="101" spans="1:10" x14ac:dyDescent="0.25">
      <c r="A101" t="s">
        <v>4307</v>
      </c>
      <c r="B101" t="s">
        <v>4308</v>
      </c>
      <c r="D101" s="273" t="s">
        <v>4309</v>
      </c>
      <c r="E101">
        <v>10</v>
      </c>
      <c r="F101" s="4">
        <v>1</v>
      </c>
      <c r="G101" s="208" t="s">
        <v>4222</v>
      </c>
      <c r="H101" t="s">
        <v>2785</v>
      </c>
      <c r="I101" t="s">
        <v>1586</v>
      </c>
      <c r="J101" t="s">
        <v>539</v>
      </c>
    </row>
    <row r="102" spans="1:9" x14ac:dyDescent="0.25">
      <c r="A102" t="s">
        <v>4310</v>
      </c>
      <c r="B102" t="s">
        <v>4311</v>
      </c>
      <c r="D102" s="273" t="s">
        <v>4312</v>
      </c>
      <c r="E102">
        <v>4</v>
      </c>
      <c r="F102" s="4">
        <v>1</v>
      </c>
      <c r="G102" s="208" t="s">
        <v>4313</v>
      </c>
      <c r="H102" t="s">
        <v>346</v>
      </c>
      <c r="I102" t="s">
        <v>403</v>
      </c>
    </row>
    <row r="103" spans="1:8" x14ac:dyDescent="0.25">
      <c r="A103" t="s">
        <v>4296</v>
      </c>
      <c r="B103" t="s">
        <v>4314</v>
      </c>
      <c r="D103" s="273" t="s">
        <v>4315</v>
      </c>
      <c r="E103">
        <v>4</v>
      </c>
      <c r="F103" s="4">
        <v>2</v>
      </c>
      <c r="G103" s="208" t="s">
        <v>4313</v>
      </c>
      <c r="H103" t="s">
        <v>539</v>
      </c>
    </row>
    <row r="104" spans="1:8" x14ac:dyDescent="0.25">
      <c r="A104" t="s">
        <v>4316</v>
      </c>
      <c r="B104" t="s">
        <v>4317</v>
      </c>
      <c r="D104" s="273" t="s">
        <v>4318</v>
      </c>
      <c r="E104">
        <v>4</v>
      </c>
      <c r="F104" s="4">
        <v>2</v>
      </c>
      <c r="H104" t="s">
        <v>1724</v>
      </c>
    </row>
    <row r="105" spans="2:6" x14ac:dyDescent="0.25">
      <c r="B105" t="s">
        <v>4319</v>
      </c>
      <c r="D105" s="273" t="s">
        <v>4320</v>
      </c>
      <c r="E105">
        <v>10</v>
      </c>
      <c r="F105" s="16">
        <v>0</v>
      </c>
    </row>
    <row r="106" spans="2:6" x14ac:dyDescent="0.25">
      <c r="B106" t="s">
        <v>4321</v>
      </c>
      <c r="D106" s="273" t="s">
        <v>4322</v>
      </c>
      <c r="E106">
        <v>10</v>
      </c>
      <c r="F106" s="16">
        <v>0</v>
      </c>
    </row>
    <row r="107" spans="1:7" x14ac:dyDescent="0.25">
      <c r="A107" t="s">
        <v>4323</v>
      </c>
      <c r="B107" t="s">
        <v>4324</v>
      </c>
      <c r="D107" s="273" t="s">
        <v>4325</v>
      </c>
      <c r="E107">
        <v>8</v>
      </c>
      <c r="F107" s="4">
        <v>5</v>
      </c>
      <c r="G107" s="208" t="s">
        <v>4326</v>
      </c>
    </row>
    <row r="108" spans="1:13" x14ac:dyDescent="0.25">
      <c r="A108" t="s">
        <v>4327</v>
      </c>
      <c r="B108" t="s">
        <v>4328</v>
      </c>
      <c r="D108" s="273" t="s">
        <v>4329</v>
      </c>
      <c r="E108">
        <v>5</v>
      </c>
      <c r="F108" s="4">
        <v>8</v>
      </c>
      <c r="G108" s="208" t="s">
        <v>4330</v>
      </c>
      <c r="H108" t="s">
        <v>4035</v>
      </c>
      <c r="I108" t="s">
        <v>507</v>
      </c>
      <c r="J108" t="s">
        <v>4088</v>
      </c>
      <c r="K108" t="s">
        <v>214</v>
      </c>
      <c r="L108" t="s">
        <v>214</v>
      </c>
      <c r="M108" t="s">
        <v>1332</v>
      </c>
    </row>
    <row r="109" ht="15.75" customHeight="1" spans="1:10" x14ac:dyDescent="0.25">
      <c r="A109" t="s">
        <v>4331</v>
      </c>
      <c r="B109" t="s">
        <v>4332</v>
      </c>
      <c r="D109" s="273" t="s">
        <v>4333</v>
      </c>
      <c r="E109">
        <v>10</v>
      </c>
      <c r="F109" s="4">
        <v>1</v>
      </c>
      <c r="G109" s="208" t="s">
        <v>4277</v>
      </c>
      <c r="H109" t="s">
        <v>96</v>
      </c>
      <c r="J109" s="293"/>
    </row>
    <row r="110" spans="1:9" x14ac:dyDescent="0.25">
      <c r="A110" t="s">
        <v>4334</v>
      </c>
      <c r="B110" t="s">
        <v>4335</v>
      </c>
      <c r="D110" s="273" t="s">
        <v>4336</v>
      </c>
      <c r="E110">
        <v>10</v>
      </c>
      <c r="F110" s="4">
        <v>1</v>
      </c>
      <c r="G110" s="208" t="s">
        <v>4337</v>
      </c>
      <c r="H110" t="s">
        <v>4338</v>
      </c>
      <c r="I110" t="s">
        <v>1896</v>
      </c>
    </row>
    <row r="111" spans="2:6" x14ac:dyDescent="0.25">
      <c r="B111" t="s">
        <v>4339</v>
      </c>
      <c r="D111" s="273" t="s">
        <v>4340</v>
      </c>
      <c r="E111">
        <v>10</v>
      </c>
      <c r="F111" s="16">
        <v>0</v>
      </c>
    </row>
    <row r="112" spans="2:6" x14ac:dyDescent="0.25">
      <c r="B112" t="s">
        <v>4341</v>
      </c>
      <c r="D112" s="273" t="s">
        <v>4342</v>
      </c>
      <c r="E112">
        <v>10</v>
      </c>
      <c r="F112" s="16">
        <v>0</v>
      </c>
    </row>
    <row r="113" spans="1:11" x14ac:dyDescent="0.25">
      <c r="A113" t="s">
        <v>4343</v>
      </c>
      <c r="B113" t="s">
        <v>4344</v>
      </c>
      <c r="D113" s="273" t="s">
        <v>4345</v>
      </c>
      <c r="E113">
        <v>5</v>
      </c>
      <c r="F113" s="4">
        <v>13</v>
      </c>
      <c r="G113" s="208" t="s">
        <v>4346</v>
      </c>
      <c r="H113" t="s">
        <v>919</v>
      </c>
      <c r="I113" t="s">
        <v>3791</v>
      </c>
      <c r="J113" t="s">
        <v>1022</v>
      </c>
      <c r="K113" t="s">
        <v>461</v>
      </c>
    </row>
    <row r="114" spans="2:9" x14ac:dyDescent="0.25">
      <c r="B114" t="s">
        <v>4347</v>
      </c>
      <c r="D114" s="273" t="s">
        <v>4348</v>
      </c>
      <c r="E114">
        <v>8</v>
      </c>
      <c r="F114" s="4">
        <v>0</v>
      </c>
      <c r="G114" s="208" t="s">
        <v>4167</v>
      </c>
      <c r="I114" t="s">
        <v>4349</v>
      </c>
    </row>
    <row r="115" spans="2:6" x14ac:dyDescent="0.25">
      <c r="B115" t="s">
        <v>4350</v>
      </c>
      <c r="D115" s="273" t="s">
        <v>4351</v>
      </c>
      <c r="E115">
        <v>10</v>
      </c>
      <c r="F115" s="16">
        <v>0</v>
      </c>
    </row>
    <row r="116" spans="2:13" x14ac:dyDescent="0.25">
      <c r="B116" t="s">
        <v>4352</v>
      </c>
      <c r="D116" s="273" t="s">
        <v>4353</v>
      </c>
      <c r="E116">
        <v>8</v>
      </c>
      <c r="F116" s="16">
        <v>0</v>
      </c>
      <c r="G116" s="208" t="s">
        <v>4326</v>
      </c>
      <c r="H116" t="s">
        <v>4051</v>
      </c>
      <c r="I116" t="s">
        <v>4354</v>
      </c>
      <c r="J116" t="s">
        <v>1443</v>
      </c>
      <c r="K116" t="s">
        <v>902</v>
      </c>
      <c r="L116" t="s">
        <v>650</v>
      </c>
      <c r="M116" t="s">
        <v>4355</v>
      </c>
    </row>
    <row r="117" spans="1:8" x14ac:dyDescent="0.25">
      <c r="A117" t="s">
        <v>4356</v>
      </c>
      <c r="B117" t="s">
        <v>4357</v>
      </c>
      <c r="D117" s="273" t="s">
        <v>4358</v>
      </c>
      <c r="E117">
        <v>10</v>
      </c>
      <c r="F117" s="4">
        <v>1</v>
      </c>
      <c r="G117" s="208" t="s">
        <v>4277</v>
      </c>
      <c r="H117" t="s">
        <v>174</v>
      </c>
    </row>
    <row r="118" spans="1:7" x14ac:dyDescent="0.25">
      <c r="A118" t="s">
        <v>4359</v>
      </c>
      <c r="B118" t="s">
        <v>4360</v>
      </c>
      <c r="D118" s="273" t="s">
        <v>4361</v>
      </c>
      <c r="E118">
        <v>5</v>
      </c>
      <c r="F118" s="4">
        <v>10</v>
      </c>
      <c r="G118" s="208" t="s">
        <v>1172</v>
      </c>
    </row>
    <row r="119" spans="1:9" x14ac:dyDescent="0.25">
      <c r="A119" t="s">
        <v>4362</v>
      </c>
      <c r="B119" t="s">
        <v>4363</v>
      </c>
      <c r="D119" s="273" t="s">
        <v>4364</v>
      </c>
      <c r="E119">
        <v>5</v>
      </c>
      <c r="F119" s="4">
        <v>10</v>
      </c>
      <c r="G119" s="208" t="s">
        <v>4365</v>
      </c>
      <c r="H119" t="s">
        <v>1570</v>
      </c>
      <c r="I119" t="s">
        <v>4366</v>
      </c>
    </row>
    <row r="120" spans="2:6" x14ac:dyDescent="0.25">
      <c r="B120" t="s">
        <v>4367</v>
      </c>
      <c r="D120" s="273" t="s">
        <v>4368</v>
      </c>
      <c r="E120">
        <v>10</v>
      </c>
      <c r="F120" s="16">
        <v>0</v>
      </c>
    </row>
    <row r="121" spans="2:9" x14ac:dyDescent="0.25">
      <c r="B121" t="s">
        <v>4369</v>
      </c>
      <c r="D121" s="273" t="s">
        <v>4370</v>
      </c>
      <c r="E121">
        <v>8</v>
      </c>
      <c r="F121" s="4">
        <v>3</v>
      </c>
      <c r="G121" s="208" t="s">
        <v>4371</v>
      </c>
      <c r="H121" t="s">
        <v>2886</v>
      </c>
      <c r="I121" t="s">
        <v>680</v>
      </c>
    </row>
    <row r="122" spans="1:9" x14ac:dyDescent="0.25">
      <c r="A122" t="s">
        <v>4372</v>
      </c>
      <c r="B122" t="s">
        <v>4373</v>
      </c>
      <c r="D122" s="273" t="s">
        <v>4374</v>
      </c>
      <c r="E122">
        <v>8</v>
      </c>
      <c r="F122" s="4">
        <v>4</v>
      </c>
      <c r="G122" s="208" t="s">
        <v>4371</v>
      </c>
      <c r="H122" t="s">
        <v>1716</v>
      </c>
      <c r="I122" t="s">
        <v>106</v>
      </c>
    </row>
    <row r="123" spans="1:6" x14ac:dyDescent="0.25">
      <c r="A123" t="s">
        <v>4375</v>
      </c>
      <c r="B123" t="s">
        <v>4376</v>
      </c>
      <c r="D123" s="273" t="s">
        <v>4377</v>
      </c>
      <c r="E123">
        <v>10</v>
      </c>
      <c r="F123" s="4">
        <v>1</v>
      </c>
    </row>
    <row r="124" spans="2:7" x14ac:dyDescent="0.25">
      <c r="B124" t="s">
        <v>4378</v>
      </c>
      <c r="D124" s="273" t="s">
        <v>4379</v>
      </c>
      <c r="E124">
        <v>10</v>
      </c>
      <c r="F124" s="16">
        <v>0</v>
      </c>
      <c r="G124" s="208" t="s">
        <v>2165</v>
      </c>
    </row>
    <row r="125" spans="2:7" x14ac:dyDescent="0.25">
      <c r="B125" t="s">
        <v>4380</v>
      </c>
      <c r="D125" s="273" t="s">
        <v>4381</v>
      </c>
      <c r="E125">
        <v>10</v>
      </c>
      <c r="F125" s="16">
        <v>0</v>
      </c>
      <c r="G125" s="208" t="s">
        <v>1915</v>
      </c>
    </row>
    <row r="126" spans="2:6" x14ac:dyDescent="0.25">
      <c r="B126" s="281" t="s">
        <v>4382</v>
      </c>
      <c r="C126" s="281"/>
      <c r="D126" s="282" t="s">
        <v>4383</v>
      </c>
      <c r="E126" s="281">
        <v>10</v>
      </c>
      <c r="F126" s="281">
        <v>1</v>
      </c>
    </row>
    <row r="127" spans="2:8" x14ac:dyDescent="0.25">
      <c r="B127" t="s">
        <v>4384</v>
      </c>
      <c r="D127" s="273" t="s">
        <v>4385</v>
      </c>
      <c r="E127">
        <v>10</v>
      </c>
      <c r="F127" s="16">
        <v>0</v>
      </c>
      <c r="G127" s="208" t="s">
        <v>313</v>
      </c>
      <c r="H127" t="s">
        <v>295</v>
      </c>
    </row>
    <row r="128" spans="1:8" x14ac:dyDescent="0.25">
      <c r="A128" t="s">
        <v>4386</v>
      </c>
      <c r="B128" t="s">
        <v>4387</v>
      </c>
      <c r="D128" s="273" t="s">
        <v>4388</v>
      </c>
      <c r="E128">
        <v>10</v>
      </c>
      <c r="F128" s="4">
        <v>1</v>
      </c>
      <c r="H128" t="s">
        <v>295</v>
      </c>
    </row>
    <row r="129" spans="1:14" x14ac:dyDescent="0.25">
      <c r="A129" t="s">
        <v>2393</v>
      </c>
      <c r="B129" t="s">
        <v>4389</v>
      </c>
      <c r="D129" s="273" t="s">
        <v>4390</v>
      </c>
      <c r="E129">
        <v>10</v>
      </c>
      <c r="F129" s="4">
        <v>9</v>
      </c>
      <c r="G129" s="208" t="s">
        <v>4391</v>
      </c>
      <c r="H129" t="s">
        <v>229</v>
      </c>
      <c r="I129" t="s">
        <v>4392</v>
      </c>
      <c r="J129" t="s">
        <v>496</v>
      </c>
      <c r="K129" t="s">
        <v>4393</v>
      </c>
      <c r="L129" t="s">
        <v>4394</v>
      </c>
      <c r="M129" t="s">
        <v>2454</v>
      </c>
      <c r="N129" t="s">
        <v>600</v>
      </c>
    </row>
    <row r="130" spans="1:16" x14ac:dyDescent="0.25">
      <c r="A130" t="s">
        <v>2393</v>
      </c>
      <c r="B130" t="s">
        <v>4395</v>
      </c>
      <c r="D130" s="273" t="s">
        <v>4396</v>
      </c>
      <c r="E130">
        <v>10</v>
      </c>
      <c r="F130" s="4">
        <v>9</v>
      </c>
      <c r="G130" s="208" t="s">
        <v>4391</v>
      </c>
      <c r="H130" t="s">
        <v>229</v>
      </c>
      <c r="I130" t="s">
        <v>303</v>
      </c>
      <c r="J130" t="s">
        <v>107</v>
      </c>
      <c r="K130" t="s">
        <v>496</v>
      </c>
      <c r="L130" t="s">
        <v>4393</v>
      </c>
      <c r="M130" t="s">
        <v>4397</v>
      </c>
      <c r="N130" t="s">
        <v>2040</v>
      </c>
      <c r="O130" t="s">
        <v>2454</v>
      </c>
      <c r="P130" t="s">
        <v>207</v>
      </c>
    </row>
    <row r="131" spans="1:18" x14ac:dyDescent="0.25">
      <c r="A131" t="s">
        <v>2393</v>
      </c>
      <c r="B131" t="s">
        <v>4398</v>
      </c>
      <c r="D131" s="273" t="s">
        <v>4399</v>
      </c>
      <c r="E131">
        <v>10</v>
      </c>
      <c r="F131" s="4">
        <v>5</v>
      </c>
      <c r="G131" s="208" t="s">
        <v>4391</v>
      </c>
      <c r="H131" t="s">
        <v>229</v>
      </c>
      <c r="I131" t="s">
        <v>4400</v>
      </c>
      <c r="J131" t="s">
        <v>107</v>
      </c>
      <c r="K131" t="s">
        <v>1289</v>
      </c>
      <c r="L131" t="s">
        <v>496</v>
      </c>
      <c r="M131" t="s">
        <v>4393</v>
      </c>
      <c r="N131" t="s">
        <v>602</v>
      </c>
      <c r="O131" t="s">
        <v>1147</v>
      </c>
      <c r="P131" t="s">
        <v>2454</v>
      </c>
      <c r="Q131" t="s">
        <v>207</v>
      </c>
      <c r="R131" t="s">
        <v>11</v>
      </c>
    </row>
    <row r="132" spans="1:18" x14ac:dyDescent="0.25">
      <c r="A132" t="s">
        <v>2393</v>
      </c>
      <c r="B132" t="s">
        <v>4401</v>
      </c>
      <c r="D132" s="273" t="s">
        <v>4402</v>
      </c>
      <c r="E132">
        <v>10</v>
      </c>
      <c r="F132" s="4">
        <v>7</v>
      </c>
      <c r="G132" s="208" t="s">
        <v>4403</v>
      </c>
      <c r="H132" t="s">
        <v>4404</v>
      </c>
      <c r="I132" t="s">
        <v>1611</v>
      </c>
      <c r="J132" t="s">
        <v>107</v>
      </c>
      <c r="K132" t="s">
        <v>496</v>
      </c>
      <c r="L132" t="s">
        <v>265</v>
      </c>
      <c r="M132" t="s">
        <v>4393</v>
      </c>
      <c r="N132" t="s">
        <v>818</v>
      </c>
      <c r="O132" t="s">
        <v>602</v>
      </c>
      <c r="P132" t="s">
        <v>1462</v>
      </c>
      <c r="Q132" t="s">
        <v>2454</v>
      </c>
      <c r="R132" t="s">
        <v>2447</v>
      </c>
    </row>
    <row r="133" spans="2:7" x14ac:dyDescent="0.25">
      <c r="B133" t="s">
        <v>4405</v>
      </c>
      <c r="D133" s="273" t="s">
        <v>4406</v>
      </c>
      <c r="E133">
        <v>25</v>
      </c>
      <c r="F133" s="16">
        <v>0</v>
      </c>
      <c r="G133" s="208" t="s">
        <v>4407</v>
      </c>
    </row>
    <row r="134" spans="2:9" x14ac:dyDescent="0.25">
      <c r="B134" t="s">
        <v>4408</v>
      </c>
      <c r="D134" s="273" t="s">
        <v>4409</v>
      </c>
      <c r="E134">
        <v>10</v>
      </c>
      <c r="F134" s="16">
        <v>0</v>
      </c>
      <c r="G134" s="208" t="s">
        <v>4391</v>
      </c>
      <c r="H134" t="s">
        <v>229</v>
      </c>
      <c r="I134" t="s">
        <v>4410</v>
      </c>
    </row>
    <row r="135" spans="1:12" x14ac:dyDescent="0.25">
      <c r="A135" t="s">
        <v>4411</v>
      </c>
      <c r="B135" t="s">
        <v>4412</v>
      </c>
      <c r="D135" s="273" t="s">
        <v>4413</v>
      </c>
      <c r="E135">
        <v>25</v>
      </c>
      <c r="F135" s="16">
        <v>0</v>
      </c>
      <c r="H135" t="s">
        <v>1039</v>
      </c>
      <c r="I135" t="s">
        <v>48</v>
      </c>
      <c r="J135" t="s">
        <v>26</v>
      </c>
      <c r="K135" t="s">
        <v>169</v>
      </c>
      <c r="L135" t="s">
        <v>1321</v>
      </c>
    </row>
    <row r="136" spans="1:10" x14ac:dyDescent="0.25">
      <c r="A136" t="s">
        <v>4414</v>
      </c>
      <c r="B136" t="s">
        <v>4415</v>
      </c>
      <c r="D136" s="273" t="s">
        <v>4416</v>
      </c>
      <c r="E136">
        <v>25</v>
      </c>
      <c r="F136" s="4">
        <v>2</v>
      </c>
      <c r="H136" t="s">
        <v>714</v>
      </c>
      <c r="I136" t="s">
        <v>26</v>
      </c>
      <c r="J136" t="s">
        <v>583</v>
      </c>
    </row>
    <row r="137" spans="1:8" x14ac:dyDescent="0.25">
      <c r="A137" t="s">
        <v>4417</v>
      </c>
      <c r="B137" t="s">
        <v>4418</v>
      </c>
      <c r="D137" s="273" t="s">
        <v>4419</v>
      </c>
      <c r="E137">
        <v>25</v>
      </c>
      <c r="F137" s="4">
        <v>4</v>
      </c>
      <c r="H137" t="s">
        <v>1908</v>
      </c>
    </row>
    <row r="138" spans="1:9" x14ac:dyDescent="0.25">
      <c r="A138" s="294" t="s">
        <v>4420</v>
      </c>
      <c r="B138" t="s">
        <v>4421</v>
      </c>
      <c r="D138" s="273" t="s">
        <v>4422</v>
      </c>
      <c r="E138">
        <v>25</v>
      </c>
      <c r="F138" s="4">
        <v>3</v>
      </c>
      <c r="H138" t="s">
        <v>26</v>
      </c>
      <c r="I138" t="s">
        <v>285</v>
      </c>
    </row>
    <row r="139" spans="2:6" x14ac:dyDescent="0.25">
      <c r="B139" t="s">
        <v>4423</v>
      </c>
      <c r="D139" s="273" t="s">
        <v>4424</v>
      </c>
      <c r="E139">
        <v>25</v>
      </c>
      <c r="F139" s="16">
        <v>0</v>
      </c>
    </row>
    <row r="140" spans="1:8" x14ac:dyDescent="0.25">
      <c r="A140" t="s">
        <v>4425</v>
      </c>
      <c r="B140" t="s">
        <v>4426</v>
      </c>
      <c r="D140" s="273" t="s">
        <v>4427</v>
      </c>
      <c r="E140">
        <v>25</v>
      </c>
      <c r="F140" s="4">
        <v>4</v>
      </c>
      <c r="H140" t="s">
        <v>26</v>
      </c>
    </row>
    <row r="141" spans="2:6" x14ac:dyDescent="0.25">
      <c r="E141" t="s">
        <v>4428</v>
      </c>
      <c r="F141" s="295" t="s">
        <v>4429</v>
      </c>
    </row>
    <row r="142" spans="2:6" x14ac:dyDescent="0.25">
      <c r="F142" s="295" t="s">
        <v>4430</v>
      </c>
    </row>
  </sheetData>
  <pageMargins left="0.7" right="0.7" top="0.75" bottom="0.75" header="0.3" footer="0.3"/>
  <pageSetup paperSize="9" orientation="portrait" horizontalDpi="300" verticalDpi="300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16"/>
  <sheetViews>
    <sheetView workbookViewId="0" zoomScale="100" zoomScaleNormal="100">
      <selection activeCell="P45" sqref="P45"/>
    </sheetView>
  </sheetViews>
  <sheetFormatPr defaultRowHeight="15" outlineLevelRow="0" outlineLevelCol="0" x14ac:dyDescent="0"/>
  <cols>
    <col min="1" max="1" width="17.5703125" customWidth="1"/>
    <col min="2" max="2" width="8.7109375" customWidth="1"/>
    <col min="3" max="3" width="9.42578125" style="208" hidden="1" customWidth="1"/>
    <col min="4" max="4" width="8" customWidth="1"/>
    <col min="5" max="5" width="32" customWidth="1"/>
    <col min="6" max="6" width="9.42578125" style="208" customWidth="1"/>
    <col min="7" max="7" width="26.42578125" customWidth="1"/>
    <col min="8" max="8" width="5.5703125" style="208" customWidth="1"/>
    <col min="9" max="9" width="22.5703125" style="208" customWidth="1"/>
    <col min="10" max="11" width="9.5703125" customWidth="1"/>
    <col min="13" max="14" width="9.42578125" customWidth="1"/>
    <col min="15" max="15" width="9.5703125" customWidth="1"/>
    <col min="16" max="17" width="9.42578125" customWidth="1"/>
    <col min="18" max="18" width="10.5703125" customWidth="1"/>
    <col min="19" max="19" width="9.42578125" customWidth="1"/>
  </cols>
  <sheetData>
    <row r="1" spans="5:5" x14ac:dyDescent="0.25">
      <c r="E1" s="270" t="s">
        <v>3697</v>
      </c>
    </row>
    <row r="2" spans="1:25" x14ac:dyDescent="0.25">
      <c r="A2" t="s">
        <v>2393</v>
      </c>
      <c r="B2" s="6" t="s">
        <v>3018</v>
      </c>
      <c r="C2" s="271">
        <v>8</v>
      </c>
      <c r="D2" s="26"/>
      <c r="E2" s="6" t="s">
        <v>3020</v>
      </c>
      <c r="F2" s="50">
        <v>26</v>
      </c>
      <c r="G2" s="26"/>
      <c r="H2" s="56">
        <v>44</v>
      </c>
      <c r="I2" s="9" t="s">
        <v>3698</v>
      </c>
      <c r="J2" t="s">
        <v>61</v>
      </c>
      <c r="K2" t="s">
        <v>651</v>
      </c>
      <c r="L2" t="s">
        <v>1987</v>
      </c>
      <c r="M2" s="4" t="s">
        <v>3699</v>
      </c>
      <c r="N2" t="s">
        <v>3700</v>
      </c>
      <c r="O2" t="s">
        <v>2853</v>
      </c>
      <c r="P2" t="s">
        <v>722</v>
      </c>
      <c r="Q2" t="s">
        <v>49</v>
      </c>
      <c r="R2" t="s">
        <v>64</v>
      </c>
      <c r="S2" t="s">
        <v>512</v>
      </c>
      <c r="T2" t="s">
        <v>667</v>
      </c>
      <c r="V2" t="s">
        <v>3701</v>
      </c>
      <c r="W2" t="s">
        <v>3702</v>
      </c>
      <c r="X2" t="s">
        <v>206</v>
      </c>
      <c r="Y2" t="s">
        <v>1375</v>
      </c>
    </row>
    <row r="3" spans="1:25" x14ac:dyDescent="0.25">
      <c r="A3" t="s">
        <v>3703</v>
      </c>
      <c r="B3" s="6" t="s">
        <v>3025</v>
      </c>
      <c r="C3" s="271">
        <v>8</v>
      </c>
      <c r="D3" s="26"/>
      <c r="E3" s="6" t="s">
        <v>3026</v>
      </c>
      <c r="F3" s="9">
        <v>26</v>
      </c>
      <c r="G3" s="26" t="s">
        <v>3704</v>
      </c>
      <c r="H3" s="56">
        <v>29</v>
      </c>
      <c r="I3" s="9" t="s">
        <v>3705</v>
      </c>
      <c r="J3" t="s">
        <v>554</v>
      </c>
      <c r="L3" t="s">
        <v>3706</v>
      </c>
      <c r="M3" t="s">
        <v>161</v>
      </c>
      <c r="N3" t="s">
        <v>1224</v>
      </c>
      <c r="O3" t="s">
        <v>1895</v>
      </c>
      <c r="P3" t="s">
        <v>285</v>
      </c>
      <c r="Q3" t="s">
        <v>3707</v>
      </c>
      <c r="R3" t="s">
        <v>3708</v>
      </c>
      <c r="S3" t="s">
        <v>673</v>
      </c>
      <c r="T3" t="s">
        <v>2327</v>
      </c>
      <c r="U3" t="s">
        <v>722</v>
      </c>
      <c r="V3" t="s">
        <v>3709</v>
      </c>
      <c r="W3" t="s">
        <v>463</v>
      </c>
      <c r="X3" t="s">
        <v>3710</v>
      </c>
      <c r="Y3" t="s">
        <v>3711</v>
      </c>
    </row>
    <row r="4" spans="1:25" x14ac:dyDescent="0.25">
      <c r="A4" t="s">
        <v>3712</v>
      </c>
      <c r="B4" s="26" t="s">
        <v>3028</v>
      </c>
      <c r="C4" s="271">
        <v>9</v>
      </c>
      <c r="D4" s="26"/>
      <c r="E4" s="26" t="s">
        <v>3029</v>
      </c>
      <c r="F4" s="9">
        <v>26</v>
      </c>
      <c r="G4" s="26"/>
      <c r="H4" s="56">
        <v>18</v>
      </c>
      <c r="I4" s="9" t="s">
        <v>3713</v>
      </c>
      <c r="J4" t="s">
        <v>61</v>
      </c>
      <c r="K4" s="209" t="s">
        <v>62</v>
      </c>
      <c r="L4" s="4" t="s">
        <v>3570</v>
      </c>
      <c r="M4" t="s">
        <v>3714</v>
      </c>
      <c r="O4" t="s">
        <v>3715</v>
      </c>
      <c r="P4" t="s">
        <v>3716</v>
      </c>
      <c r="Q4" t="s">
        <v>3717</v>
      </c>
      <c r="R4" t="s">
        <v>737</v>
      </c>
      <c r="S4" t="s">
        <v>3718</v>
      </c>
      <c r="T4" t="s">
        <v>2412</v>
      </c>
      <c r="U4" t="s">
        <v>3719</v>
      </c>
      <c r="V4" t="s">
        <v>3720</v>
      </c>
      <c r="W4" t="s">
        <v>142</v>
      </c>
      <c r="X4" t="s">
        <v>641</v>
      </c>
      <c r="Y4" t="s">
        <v>2454</v>
      </c>
    </row>
    <row r="5" spans="1:20" x14ac:dyDescent="0.25">
      <c r="A5" t="s">
        <v>2393</v>
      </c>
      <c r="B5" s="6" t="s">
        <v>3031</v>
      </c>
      <c r="C5" s="271">
        <v>9</v>
      </c>
      <c r="D5" s="26"/>
      <c r="E5" s="26" t="s">
        <v>3032</v>
      </c>
      <c r="F5" s="9">
        <v>26</v>
      </c>
      <c r="G5" s="26"/>
      <c r="H5" s="9">
        <v>2</v>
      </c>
      <c r="I5" s="9" t="s">
        <v>1550</v>
      </c>
      <c r="J5" t="s">
        <v>3721</v>
      </c>
      <c r="K5" t="s">
        <v>693</v>
      </c>
      <c r="L5" s="4" t="s">
        <v>508</v>
      </c>
      <c r="M5" t="s">
        <v>3722</v>
      </c>
      <c r="N5" t="s">
        <v>1260</v>
      </c>
      <c r="O5" t="s">
        <v>274</v>
      </c>
      <c r="P5" t="s">
        <v>3723</v>
      </c>
      <c r="Q5" t="s">
        <v>743</v>
      </c>
      <c r="R5" t="s">
        <v>61</v>
      </c>
      <c r="S5" t="s">
        <v>512</v>
      </c>
      <c r="T5" t="s">
        <v>719</v>
      </c>
    </row>
    <row r="6" spans="1:13" x14ac:dyDescent="0.25">
      <c r="A6" t="s">
        <v>3724</v>
      </c>
      <c r="B6" s="6" t="s">
        <v>3033</v>
      </c>
      <c r="C6" s="271">
        <v>11.3</v>
      </c>
      <c r="D6" s="6"/>
      <c r="E6" s="26" t="s">
        <v>3034</v>
      </c>
      <c r="F6" s="9">
        <v>26</v>
      </c>
      <c r="G6" s="26"/>
      <c r="H6" s="56">
        <v>3</v>
      </c>
      <c r="I6" s="9" t="s">
        <v>1053</v>
      </c>
      <c r="J6" t="s">
        <v>3036</v>
      </c>
      <c r="K6" t="s">
        <v>2161</v>
      </c>
      <c r="L6" s="4" t="s">
        <v>3725</v>
      </c>
      <c r="M6" t="s">
        <v>1244</v>
      </c>
    </row>
    <row r="7" spans="1:12" x14ac:dyDescent="0.25">
      <c r="A7" t="s">
        <v>2393</v>
      </c>
      <c r="B7" s="6" t="s">
        <v>3037</v>
      </c>
      <c r="C7" s="271">
        <v>11.3</v>
      </c>
      <c r="D7" s="6"/>
      <c r="E7" s="26" t="s">
        <v>3038</v>
      </c>
      <c r="F7" s="9">
        <v>26</v>
      </c>
      <c r="G7" s="26"/>
      <c r="H7" s="56">
        <v>3</v>
      </c>
      <c r="I7" s="9" t="s">
        <v>244</v>
      </c>
      <c r="J7" t="s">
        <v>2158</v>
      </c>
      <c r="K7" t="s">
        <v>216</v>
      </c>
      <c r="L7" s="4"/>
    </row>
    <row r="8" spans="1:12" x14ac:dyDescent="0.25">
      <c r="A8" t="s">
        <v>2393</v>
      </c>
      <c r="B8" s="6" t="s">
        <v>3040</v>
      </c>
      <c r="C8" s="9"/>
      <c r="D8" s="6"/>
      <c r="E8" s="26" t="s">
        <v>3041</v>
      </c>
      <c r="F8" s="9">
        <v>26</v>
      </c>
      <c r="G8" s="26"/>
      <c r="H8" s="56">
        <v>3</v>
      </c>
      <c r="I8" s="9" t="s">
        <v>3726</v>
      </c>
      <c r="J8" t="s">
        <v>3043</v>
      </c>
      <c r="L8" s="4"/>
    </row>
    <row r="9" spans="1:11" x14ac:dyDescent="0.25">
      <c r="A9" t="s">
        <v>3727</v>
      </c>
      <c r="B9" s="6" t="s">
        <v>3044</v>
      </c>
      <c r="C9" s="9"/>
      <c r="D9" s="6" t="s">
        <v>29</v>
      </c>
      <c r="E9" s="26" t="s">
        <v>3045</v>
      </c>
      <c r="F9" s="9">
        <v>26</v>
      </c>
      <c r="G9" s="26"/>
      <c r="H9" s="56">
        <v>3</v>
      </c>
      <c r="I9" s="9" t="s">
        <v>3728</v>
      </c>
      <c r="J9" t="s">
        <v>3047</v>
      </c>
      <c r="K9" t="s">
        <v>1243</v>
      </c>
    </row>
    <row r="10" spans="2:12" x14ac:dyDescent="0.25">
      <c r="B10" s="6" t="s">
        <v>3048</v>
      </c>
      <c r="C10" s="9">
        <v>9</v>
      </c>
      <c r="D10" s="6" t="s">
        <v>29</v>
      </c>
      <c r="E10" s="26" t="s">
        <v>3049</v>
      </c>
      <c r="F10" s="9">
        <v>26</v>
      </c>
      <c r="G10" s="26"/>
      <c r="H10" s="100">
        <v>0</v>
      </c>
      <c r="I10" s="9" t="s">
        <v>3729</v>
      </c>
      <c r="J10" t="s">
        <v>3036</v>
      </c>
      <c r="K10" t="s">
        <v>96</v>
      </c>
      <c r="L10" t="s">
        <v>2261</v>
      </c>
    </row>
    <row r="11" spans="1:9" x14ac:dyDescent="0.25">
      <c r="A11" t="s">
        <v>2393</v>
      </c>
      <c r="B11" s="6" t="s">
        <v>3730</v>
      </c>
      <c r="C11" s="9">
        <v>9</v>
      </c>
      <c r="D11" s="6" t="s">
        <v>29</v>
      </c>
      <c r="E11" s="26" t="s">
        <v>3731</v>
      </c>
      <c r="F11" s="9">
        <v>26</v>
      </c>
      <c r="G11" s="26"/>
      <c r="H11" s="56">
        <v>2</v>
      </c>
      <c r="I11" s="9" t="s">
        <v>244</v>
      </c>
    </row>
    <row r="12" spans="1:12" x14ac:dyDescent="0.25">
      <c r="A12" t="s">
        <v>2393</v>
      </c>
      <c r="B12" s="6" t="s">
        <v>3732</v>
      </c>
      <c r="C12" s="9"/>
      <c r="D12" s="6"/>
      <c r="E12" s="26" t="s">
        <v>3733</v>
      </c>
      <c r="F12" s="9">
        <v>26</v>
      </c>
      <c r="G12" s="26"/>
      <c r="H12" s="56">
        <v>2</v>
      </c>
      <c r="I12" s="9" t="s">
        <v>3734</v>
      </c>
      <c r="J12" t="s">
        <v>1098</v>
      </c>
      <c r="K12" t="s">
        <v>1648</v>
      </c>
      <c r="L12" t="s">
        <v>1261</v>
      </c>
    </row>
    <row r="13" spans="1:18" x14ac:dyDescent="0.25">
      <c r="A13" t="s">
        <v>2393</v>
      </c>
      <c r="B13" s="6" t="s">
        <v>3051</v>
      </c>
      <c r="C13" s="9"/>
      <c r="D13" s="6"/>
      <c r="E13" s="26" t="s">
        <v>3052</v>
      </c>
      <c r="F13" s="9">
        <v>26</v>
      </c>
      <c r="G13" s="26"/>
      <c r="H13" s="9">
        <v>3</v>
      </c>
      <c r="I13" s="9" t="s">
        <v>3735</v>
      </c>
      <c r="J13" t="s">
        <v>2490</v>
      </c>
      <c r="K13" t="s">
        <v>2142</v>
      </c>
      <c r="L13" t="s">
        <v>1717</v>
      </c>
      <c r="M13" t="s">
        <v>3736</v>
      </c>
      <c r="N13" t="s">
        <v>509</v>
      </c>
      <c r="O13" t="s">
        <v>1365</v>
      </c>
      <c r="P13" t="s">
        <v>1243</v>
      </c>
      <c r="Q13" t="s">
        <v>935</v>
      </c>
      <c r="R13" t="s">
        <v>259</v>
      </c>
    </row>
    <row r="14" spans="2:11" x14ac:dyDescent="0.25">
      <c r="B14" s="6" t="s">
        <v>3055</v>
      </c>
      <c r="C14" s="9"/>
      <c r="D14" s="6"/>
      <c r="E14" s="26" t="s">
        <v>3056</v>
      </c>
      <c r="F14" s="9">
        <v>6</v>
      </c>
      <c r="G14" s="26"/>
      <c r="H14" s="100">
        <v>0</v>
      </c>
      <c r="I14" s="9" t="s">
        <v>3057</v>
      </c>
      <c r="J14" t="s">
        <v>3737</v>
      </c>
      <c r="K14" t="s">
        <v>3738</v>
      </c>
    </row>
    <row r="15" spans="2:11" x14ac:dyDescent="0.25">
      <c r="B15" s="6" t="s">
        <v>3058</v>
      </c>
      <c r="C15" s="9"/>
      <c r="D15" s="6"/>
      <c r="E15" s="26" t="s">
        <v>3059</v>
      </c>
      <c r="F15" s="9">
        <v>6</v>
      </c>
      <c r="G15" s="26"/>
      <c r="H15" s="100">
        <v>0</v>
      </c>
      <c r="I15" s="9" t="s">
        <v>3057</v>
      </c>
      <c r="J15" t="s">
        <v>3739</v>
      </c>
      <c r="K15" t="s">
        <v>3740</v>
      </c>
    </row>
    <row r="16" spans="2:10" x14ac:dyDescent="0.25">
      <c r="B16" s="6" t="s">
        <v>3060</v>
      </c>
      <c r="C16" s="9"/>
      <c r="D16" s="6" t="s">
        <v>5</v>
      </c>
      <c r="E16" s="6" t="s">
        <v>3061</v>
      </c>
      <c r="F16" s="9">
        <v>26</v>
      </c>
      <c r="G16" s="26"/>
      <c r="H16" s="100">
        <v>0</v>
      </c>
      <c r="I16" s="9" t="s">
        <v>3062</v>
      </c>
      <c r="J16" t="s">
        <v>1815</v>
      </c>
    </row>
    <row r="17" spans="2:10" x14ac:dyDescent="0.25">
      <c r="B17" s="6" t="s">
        <v>3063</v>
      </c>
      <c r="C17" s="9"/>
      <c r="D17" s="6" t="s">
        <v>5</v>
      </c>
      <c r="E17" s="6" t="s">
        <v>3064</v>
      </c>
      <c r="F17" s="9">
        <v>26</v>
      </c>
      <c r="G17" s="26"/>
      <c r="H17" s="100">
        <v>0</v>
      </c>
      <c r="I17" s="9" t="s">
        <v>3065</v>
      </c>
      <c r="J17" t="s">
        <v>3066</v>
      </c>
    </row>
    <row r="18" spans="2:9" x14ac:dyDescent="0.25">
      <c r="B18" s="6" t="s">
        <v>3067</v>
      </c>
      <c r="C18" s="9"/>
      <c r="D18" s="6" t="s">
        <v>5</v>
      </c>
      <c r="E18" s="6" t="s">
        <v>3068</v>
      </c>
      <c r="F18" s="9">
        <v>26</v>
      </c>
      <c r="G18" s="26"/>
      <c r="H18" s="100">
        <v>0</v>
      </c>
      <c r="I18" s="9" t="s">
        <v>3069</v>
      </c>
    </row>
    <row r="19" spans="2:9" x14ac:dyDescent="0.25">
      <c r="B19" s="6" t="s">
        <v>3070</v>
      </c>
      <c r="C19" s="9"/>
      <c r="D19" s="6" t="s">
        <v>5</v>
      </c>
      <c r="E19" s="6" t="s">
        <v>3071</v>
      </c>
      <c r="F19" s="9">
        <v>26</v>
      </c>
      <c r="G19" s="26"/>
      <c r="H19" s="100">
        <v>0</v>
      </c>
      <c r="I19" s="9" t="s">
        <v>3072</v>
      </c>
    </row>
    <row r="20" spans="2:9" x14ac:dyDescent="0.25">
      <c r="B20" s="6" t="s">
        <v>3075</v>
      </c>
      <c r="C20" s="9"/>
      <c r="D20" s="6" t="s">
        <v>5</v>
      </c>
      <c r="E20" s="6" t="s">
        <v>3076</v>
      </c>
      <c r="F20" s="9">
        <v>26</v>
      </c>
      <c r="G20" s="26"/>
      <c r="H20" s="100">
        <v>0</v>
      </c>
      <c r="I20" s="9" t="s">
        <v>3077</v>
      </c>
    </row>
    <row r="21" spans="2:11" x14ac:dyDescent="0.25">
      <c r="B21" s="6" t="s">
        <v>3078</v>
      </c>
      <c r="C21" s="9"/>
      <c r="D21" s="6" t="s">
        <v>5</v>
      </c>
      <c r="E21" s="6" t="s">
        <v>3079</v>
      </c>
      <c r="F21" s="9">
        <v>26</v>
      </c>
      <c r="G21" s="26"/>
      <c r="H21" s="100">
        <v>0</v>
      </c>
      <c r="I21" s="9" t="s">
        <v>3080</v>
      </c>
      <c r="J21" t="s">
        <v>1512</v>
      </c>
      <c r="K21" t="s">
        <v>703</v>
      </c>
    </row>
    <row r="22" spans="2:11" x14ac:dyDescent="0.25">
      <c r="B22" s="6" t="s">
        <v>3082</v>
      </c>
      <c r="C22" s="9"/>
      <c r="D22" s="6" t="s">
        <v>5</v>
      </c>
      <c r="E22" s="6" t="s">
        <v>3084</v>
      </c>
      <c r="F22" s="9">
        <v>25</v>
      </c>
      <c r="G22" s="26"/>
      <c r="H22" s="100">
        <v>0</v>
      </c>
      <c r="I22" s="9" t="s">
        <v>3085</v>
      </c>
      <c r="J22" t="s">
        <v>3741</v>
      </c>
      <c r="K22" t="s">
        <v>3742</v>
      </c>
    </row>
    <row r="23" spans="2:11" x14ac:dyDescent="0.25">
      <c r="B23" s="6" t="s">
        <v>3087</v>
      </c>
      <c r="C23" s="9"/>
      <c r="D23" s="6"/>
      <c r="E23" s="6" t="s">
        <v>3088</v>
      </c>
      <c r="F23" s="9">
        <v>25</v>
      </c>
      <c r="G23" s="26"/>
      <c r="H23" s="100">
        <v>0</v>
      </c>
      <c r="I23" s="9" t="s">
        <v>3089</v>
      </c>
      <c r="J23" t="s">
        <v>3086</v>
      </c>
      <c r="K23" t="s">
        <v>3743</v>
      </c>
    </row>
    <row r="24" spans="1:16" x14ac:dyDescent="0.25">
      <c r="A24" t="s">
        <v>3744</v>
      </c>
      <c r="B24" s="6" t="s">
        <v>3090</v>
      </c>
      <c r="C24" s="9"/>
      <c r="D24" s="6"/>
      <c r="E24" s="6" t="s">
        <v>3091</v>
      </c>
      <c r="F24" s="9">
        <v>25</v>
      </c>
      <c r="G24" s="32" t="s">
        <v>3745</v>
      </c>
      <c r="H24" s="56">
        <v>1</v>
      </c>
      <c r="I24" s="9" t="s">
        <v>3746</v>
      </c>
      <c r="J24" t="s">
        <v>34</v>
      </c>
      <c r="K24" t="s">
        <v>3741</v>
      </c>
      <c r="L24" t="s">
        <v>214</v>
      </c>
      <c r="M24" t="s">
        <v>3747</v>
      </c>
      <c r="N24" t="s">
        <v>1252</v>
      </c>
      <c r="O24" t="s">
        <v>2908</v>
      </c>
      <c r="P24" t="s">
        <v>292</v>
      </c>
    </row>
    <row r="25" spans="1:14" x14ac:dyDescent="0.25">
      <c r="A25" t="s">
        <v>3748</v>
      </c>
      <c r="B25" s="6" t="s">
        <v>3092</v>
      </c>
      <c r="C25" s="271">
        <v>6.9</v>
      </c>
      <c r="D25" s="6"/>
      <c r="E25" s="6" t="s">
        <v>3093</v>
      </c>
      <c r="F25" s="9">
        <v>25</v>
      </c>
      <c r="G25" s="26"/>
      <c r="H25" s="56">
        <v>3</v>
      </c>
      <c r="I25" s="9" t="s">
        <v>41</v>
      </c>
      <c r="J25" t="s">
        <v>909</v>
      </c>
      <c r="K25" t="s">
        <v>2216</v>
      </c>
      <c r="L25" t="s">
        <v>3749</v>
      </c>
      <c r="M25" t="s">
        <v>3750</v>
      </c>
      <c r="N25" t="s">
        <v>453</v>
      </c>
    </row>
    <row r="26" spans="1:12" x14ac:dyDescent="0.25">
      <c r="A26" t="s">
        <v>2393</v>
      </c>
      <c r="B26" s="6" t="s">
        <v>3095</v>
      </c>
      <c r="C26" s="271">
        <v>9.1</v>
      </c>
      <c r="D26" s="6"/>
      <c r="E26" s="6" t="s">
        <v>3096</v>
      </c>
      <c r="F26" s="9">
        <v>25</v>
      </c>
      <c r="G26" s="26"/>
      <c r="H26" s="56">
        <v>2</v>
      </c>
      <c r="I26" s="9" t="s">
        <v>3751</v>
      </c>
      <c r="J26" t="s">
        <v>3098</v>
      </c>
      <c r="K26" t="s">
        <v>2770</v>
      </c>
      <c r="L26" t="s">
        <v>345</v>
      </c>
    </row>
    <row r="27" spans="1:25" x14ac:dyDescent="0.25">
      <c r="A27" t="s">
        <v>2393</v>
      </c>
      <c r="B27" s="6" t="s">
        <v>3099</v>
      </c>
      <c r="C27" s="271">
        <v>9.1</v>
      </c>
      <c r="D27" s="6"/>
      <c r="E27" s="6" t="s">
        <v>3100</v>
      </c>
      <c r="F27" s="9">
        <v>25</v>
      </c>
      <c r="G27" s="26"/>
      <c r="H27" s="56">
        <v>19</v>
      </c>
      <c r="I27" s="9" t="s">
        <v>3752</v>
      </c>
      <c r="K27" t="s">
        <v>43</v>
      </c>
      <c r="L27" t="s">
        <v>379</v>
      </c>
      <c r="M27" t="s">
        <v>529</v>
      </c>
      <c r="N27" t="s">
        <v>2534</v>
      </c>
      <c r="O27" s="209" t="s">
        <v>1875</v>
      </c>
      <c r="P27" t="s">
        <v>133</v>
      </c>
      <c r="Q27" t="s">
        <v>3615</v>
      </c>
      <c r="R27" s="209" t="s">
        <v>64</v>
      </c>
      <c r="S27" s="209" t="s">
        <v>174</v>
      </c>
      <c r="T27" t="s">
        <v>2608</v>
      </c>
      <c r="U27" t="s">
        <v>512</v>
      </c>
      <c r="V27" t="s">
        <v>3753</v>
      </c>
      <c r="W27" t="s">
        <v>1897</v>
      </c>
      <c r="X27" t="s">
        <v>3754</v>
      </c>
      <c r="Y27" t="s">
        <v>3755</v>
      </c>
    </row>
    <row r="28" spans="1:25" s="14" customFormat="1" x14ac:dyDescent="0.25">
      <c r="A28" s="4" t="s">
        <v>3756</v>
      </c>
      <c r="B28" s="26" t="s">
        <v>3103</v>
      </c>
      <c r="C28" s="56">
        <v>8.2</v>
      </c>
      <c r="D28" s="26"/>
      <c r="E28" s="26" t="s">
        <v>3104</v>
      </c>
      <c r="F28" s="56">
        <v>25</v>
      </c>
      <c r="G28" s="26"/>
      <c r="H28" s="56">
        <v>14</v>
      </c>
      <c r="I28" s="9" t="s">
        <v>3757</v>
      </c>
      <c r="J28" s="4" t="s">
        <v>174</v>
      </c>
      <c r="K28" s="4" t="s">
        <v>170</v>
      </c>
      <c r="L28" s="4" t="s">
        <v>470</v>
      </c>
      <c r="N28" s="4" t="s">
        <v>191</v>
      </c>
      <c r="O28" s="4" t="s">
        <v>231</v>
      </c>
      <c r="P28" s="4" t="s">
        <v>499</v>
      </c>
      <c r="Q28" s="4" t="s">
        <v>3758</v>
      </c>
      <c r="R28" s="4" t="s">
        <v>275</v>
      </c>
      <c r="S28" s="4" t="s">
        <v>1754</v>
      </c>
      <c r="T28" s="4" t="s">
        <v>3759</v>
      </c>
      <c r="U28" s="4" t="s">
        <v>435</v>
      </c>
      <c r="V28" s="4" t="s">
        <v>823</v>
      </c>
      <c r="W28" s="4" t="s">
        <v>844</v>
      </c>
      <c r="X28" s="4" t="s">
        <v>2534</v>
      </c>
      <c r="Y28" s="4" t="s">
        <v>845</v>
      </c>
    </row>
    <row r="29" spans="1:25" s="14" customFormat="1" x14ac:dyDescent="0.25">
      <c r="A29" s="4" t="s">
        <v>3760</v>
      </c>
      <c r="B29" s="26" t="s">
        <v>3106</v>
      </c>
      <c r="C29" s="271">
        <v>8.2</v>
      </c>
      <c r="D29" s="26"/>
      <c r="E29" s="26" t="s">
        <v>3107</v>
      </c>
      <c r="F29" s="56">
        <v>25</v>
      </c>
      <c r="G29" s="32" t="s">
        <v>3745</v>
      </c>
      <c r="H29" s="56">
        <v>22</v>
      </c>
      <c r="I29" s="9" t="s">
        <v>3761</v>
      </c>
      <c r="J29" s="4" t="s">
        <v>502</v>
      </c>
      <c r="K29" s="4" t="s">
        <v>64</v>
      </c>
      <c r="L29" s="4" t="s">
        <v>174</v>
      </c>
      <c r="M29" s="4" t="s">
        <v>830</v>
      </c>
      <c r="N29" s="4" t="s">
        <v>667</v>
      </c>
      <c r="P29" s="4" t="s">
        <v>61</v>
      </c>
      <c r="Q29" s="4" t="s">
        <v>3762</v>
      </c>
      <c r="R29" s="4" t="s">
        <v>3763</v>
      </c>
      <c r="S29" s="4" t="s">
        <v>1025</v>
      </c>
      <c r="T29" s="4" t="s">
        <v>275</v>
      </c>
      <c r="U29" s="4" t="s">
        <v>3701</v>
      </c>
      <c r="V29" s="4" t="s">
        <v>862</v>
      </c>
      <c r="W29" s="4" t="s">
        <v>1350</v>
      </c>
      <c r="X29" s="4" t="s">
        <v>206</v>
      </c>
      <c r="Y29" s="4" t="s">
        <v>453</v>
      </c>
    </row>
    <row r="30" spans="1:13" x14ac:dyDescent="0.25">
      <c r="A30" t="s">
        <v>3764</v>
      </c>
      <c r="B30" s="6" t="s">
        <v>3108</v>
      </c>
      <c r="C30" s="9"/>
      <c r="D30" s="6"/>
      <c r="E30" s="6" t="s">
        <v>3109</v>
      </c>
      <c r="F30" s="9">
        <v>25</v>
      </c>
      <c r="G30" s="32" t="s">
        <v>3745</v>
      </c>
      <c r="H30" s="56">
        <v>1</v>
      </c>
      <c r="I30" s="9" t="s">
        <v>3746</v>
      </c>
      <c r="J30" t="s">
        <v>524</v>
      </c>
      <c r="K30" t="s">
        <v>1112</v>
      </c>
      <c r="L30" t="s">
        <v>3765</v>
      </c>
      <c r="M30" t="s">
        <v>213</v>
      </c>
    </row>
    <row r="31" spans="1:11" x14ac:dyDescent="0.25">
      <c r="A31" t="s">
        <v>3766</v>
      </c>
      <c r="B31" s="6" t="s">
        <v>3767</v>
      </c>
      <c r="C31" s="9"/>
      <c r="D31" s="6"/>
      <c r="E31" s="6" t="s">
        <v>3110</v>
      </c>
      <c r="F31" s="9">
        <v>25</v>
      </c>
      <c r="G31" s="26"/>
      <c r="H31" s="56">
        <v>2</v>
      </c>
      <c r="I31" s="9" t="s">
        <v>3768</v>
      </c>
      <c r="J31" t="s">
        <v>524</v>
      </c>
      <c r="K31" t="s">
        <v>3769</v>
      </c>
    </row>
    <row r="32" spans="1:10" x14ac:dyDescent="0.25">
      <c r="A32" t="s">
        <v>2393</v>
      </c>
      <c r="B32" s="6" t="s">
        <v>3770</v>
      </c>
      <c r="C32" s="9">
        <v>11</v>
      </c>
      <c r="D32" s="6"/>
      <c r="E32" s="6" t="s">
        <v>3771</v>
      </c>
      <c r="F32" s="9">
        <v>25</v>
      </c>
      <c r="G32" s="26"/>
      <c r="H32" s="56">
        <v>1</v>
      </c>
      <c r="I32" s="9" t="s">
        <v>3772</v>
      </c>
      <c r="J32" t="s">
        <v>266</v>
      </c>
    </row>
    <row r="33" spans="1:12" x14ac:dyDescent="0.25">
      <c r="A33" t="s">
        <v>2393</v>
      </c>
      <c r="B33" s="6" t="s">
        <v>3773</v>
      </c>
      <c r="C33" s="9">
        <v>11</v>
      </c>
      <c r="D33" s="6"/>
      <c r="E33" s="6" t="s">
        <v>3774</v>
      </c>
      <c r="F33" s="9">
        <v>25</v>
      </c>
      <c r="G33" s="26"/>
      <c r="H33" s="56">
        <v>1</v>
      </c>
      <c r="I33" s="9" t="s">
        <v>3775</v>
      </c>
      <c r="J33" t="s">
        <v>1273</v>
      </c>
      <c r="K33" t="s">
        <v>2468</v>
      </c>
      <c r="L33" t="s">
        <v>626</v>
      </c>
    </row>
    <row r="34" spans="1:14" x14ac:dyDescent="0.25">
      <c r="A34" t="s">
        <v>3776</v>
      </c>
      <c r="B34" s="6" t="s">
        <v>3112</v>
      </c>
      <c r="C34" s="9"/>
      <c r="D34" s="6"/>
      <c r="E34" s="6" t="s">
        <v>3113</v>
      </c>
      <c r="F34" s="9">
        <v>25</v>
      </c>
      <c r="G34" s="26"/>
      <c r="H34" s="9">
        <v>5</v>
      </c>
      <c r="I34" s="9" t="s">
        <v>1269</v>
      </c>
      <c r="J34" t="s">
        <v>647</v>
      </c>
      <c r="K34" t="s">
        <v>509</v>
      </c>
      <c r="L34" t="s">
        <v>2198</v>
      </c>
      <c r="M34" t="s">
        <v>1542</v>
      </c>
      <c r="N34" t="s">
        <v>3777</v>
      </c>
    </row>
    <row r="35" spans="1:18" x14ac:dyDescent="0.25">
      <c r="A35" t="s">
        <v>3778</v>
      </c>
      <c r="B35" s="6" t="s">
        <v>3115</v>
      </c>
      <c r="C35" s="9"/>
      <c r="D35" s="6"/>
      <c r="E35" s="6" t="s">
        <v>3116</v>
      </c>
      <c r="F35" s="9">
        <v>25</v>
      </c>
      <c r="G35" s="26"/>
      <c r="H35" s="9">
        <v>6</v>
      </c>
      <c r="I35" s="9" t="s">
        <v>3779</v>
      </c>
      <c r="J35" t="s">
        <v>2563</v>
      </c>
      <c r="K35" t="s">
        <v>3780</v>
      </c>
      <c r="L35" t="s">
        <v>508</v>
      </c>
      <c r="M35" t="s">
        <v>2153</v>
      </c>
      <c r="N35" t="s">
        <v>1833</v>
      </c>
      <c r="O35" t="s">
        <v>1724</v>
      </c>
      <c r="P35" t="s">
        <v>1495</v>
      </c>
      <c r="Q35" t="s">
        <v>361</v>
      </c>
      <c r="R35" t="s">
        <v>426</v>
      </c>
    </row>
    <row r="36" spans="1:15" x14ac:dyDescent="0.25">
      <c r="A36" t="s">
        <v>2393</v>
      </c>
      <c r="B36" s="6" t="s">
        <v>3117</v>
      </c>
      <c r="C36" s="9"/>
      <c r="D36" s="6"/>
      <c r="E36" s="6" t="s">
        <v>3118</v>
      </c>
      <c r="F36" s="9">
        <v>26</v>
      </c>
      <c r="G36" s="26"/>
      <c r="H36" s="56">
        <v>3</v>
      </c>
      <c r="I36" s="9" t="s">
        <v>3119</v>
      </c>
      <c r="J36" t="s">
        <v>2349</v>
      </c>
      <c r="K36" t="s">
        <v>21</v>
      </c>
      <c r="L36" t="s">
        <v>3781</v>
      </c>
      <c r="M36" t="s">
        <v>275</v>
      </c>
      <c r="N36" t="s">
        <v>3782</v>
      </c>
      <c r="O36" t="s">
        <v>3783</v>
      </c>
    </row>
    <row r="37" spans="1:14" x14ac:dyDescent="0.25">
      <c r="A37" t="s">
        <v>2393</v>
      </c>
      <c r="B37" s="6" t="s">
        <v>3120</v>
      </c>
      <c r="C37" s="9"/>
      <c r="D37" s="6"/>
      <c r="E37" s="6" t="s">
        <v>3121</v>
      </c>
      <c r="F37" s="9">
        <v>26</v>
      </c>
      <c r="G37" s="26"/>
      <c r="H37" s="56">
        <v>3</v>
      </c>
      <c r="I37" s="9" t="s">
        <v>3784</v>
      </c>
      <c r="J37" t="s">
        <v>1403</v>
      </c>
      <c r="K37" t="s">
        <v>2785</v>
      </c>
      <c r="L37" t="s">
        <v>1717</v>
      </c>
      <c r="M37" t="s">
        <v>3781</v>
      </c>
      <c r="N37" t="s">
        <v>1245</v>
      </c>
    </row>
    <row r="38" spans="1:10" x14ac:dyDescent="0.25">
      <c r="A38" t="s">
        <v>3785</v>
      </c>
      <c r="B38" s="6" t="s">
        <v>3122</v>
      </c>
      <c r="C38" s="9">
        <v>6.5</v>
      </c>
      <c r="D38" s="6"/>
      <c r="E38" s="6" t="s">
        <v>3786</v>
      </c>
      <c r="F38" s="9">
        <v>25</v>
      </c>
      <c r="G38" s="26"/>
      <c r="H38" s="56">
        <v>4</v>
      </c>
      <c r="I38" s="9" t="s">
        <v>3768</v>
      </c>
      <c r="J38" t="s">
        <v>1245</v>
      </c>
    </row>
    <row r="39" spans="1:10" x14ac:dyDescent="0.25">
      <c r="A39" t="s">
        <v>3787</v>
      </c>
      <c r="B39" s="6" t="s">
        <v>3788</v>
      </c>
      <c r="C39" s="9">
        <v>6.5</v>
      </c>
      <c r="D39" s="6"/>
      <c r="E39" s="6" t="s">
        <v>3789</v>
      </c>
      <c r="F39" s="9">
        <v>25</v>
      </c>
      <c r="G39" s="26"/>
      <c r="H39" s="56">
        <v>4</v>
      </c>
      <c r="I39" s="9" t="s">
        <v>3790</v>
      </c>
      <c r="J39" t="s">
        <v>1054</v>
      </c>
    </row>
    <row r="40" spans="2:10" x14ac:dyDescent="0.25">
      <c r="B40" s="6" t="s">
        <v>3125</v>
      </c>
      <c r="C40" s="9"/>
      <c r="D40" s="6"/>
      <c r="E40" s="6" t="s">
        <v>3126</v>
      </c>
      <c r="F40" s="9">
        <v>25</v>
      </c>
      <c r="G40" s="17"/>
      <c r="H40" s="100">
        <v>0</v>
      </c>
      <c r="I40" s="9" t="s">
        <v>3124</v>
      </c>
      <c r="J40" t="s">
        <v>3791</v>
      </c>
    </row>
    <row r="41" spans="2:10" x14ac:dyDescent="0.25">
      <c r="B41" s="6" t="s">
        <v>3055</v>
      </c>
      <c r="C41" s="9"/>
      <c r="D41" s="6"/>
      <c r="E41" s="6" t="s">
        <v>3127</v>
      </c>
      <c r="F41" s="9">
        <v>25</v>
      </c>
      <c r="G41" s="17"/>
      <c r="H41" s="100">
        <v>0</v>
      </c>
      <c r="I41" s="9" t="s">
        <v>3124</v>
      </c>
      <c r="J41" t="s">
        <v>3791</v>
      </c>
    </row>
    <row r="42" spans="1:11" x14ac:dyDescent="0.25">
      <c r="A42" t="s">
        <v>2393</v>
      </c>
      <c r="B42" s="6" t="s">
        <v>3128</v>
      </c>
      <c r="C42" s="9"/>
      <c r="D42" s="6"/>
      <c r="E42" s="6" t="s">
        <v>3129</v>
      </c>
      <c r="F42" s="9">
        <v>15</v>
      </c>
      <c r="G42" s="26"/>
      <c r="H42" s="56">
        <v>1</v>
      </c>
      <c r="I42" s="9" t="s">
        <v>3085</v>
      </c>
      <c r="J42" t="s">
        <v>3792</v>
      </c>
      <c r="K42" t="s">
        <v>3793</v>
      </c>
    </row>
    <row r="43" spans="1:11" x14ac:dyDescent="0.25">
      <c r="A43" t="s">
        <v>3794</v>
      </c>
      <c r="B43" s="6" t="s">
        <v>3130</v>
      </c>
      <c r="C43" s="9">
        <v>10</v>
      </c>
      <c r="D43" s="6"/>
      <c r="E43" s="6" t="s">
        <v>3131</v>
      </c>
      <c r="F43" s="9">
        <v>20</v>
      </c>
      <c r="G43" s="26"/>
      <c r="H43" s="56">
        <v>3</v>
      </c>
      <c r="I43" s="9" t="s">
        <v>3795</v>
      </c>
      <c r="J43" t="s">
        <v>3749</v>
      </c>
      <c r="K43" t="s">
        <v>1987</v>
      </c>
    </row>
    <row r="44" spans="1:23" s="14" customFormat="1" x14ac:dyDescent="0.25">
      <c r="A44" s="4" t="s">
        <v>2393</v>
      </c>
      <c r="B44" s="26" t="s">
        <v>3796</v>
      </c>
      <c r="C44" s="56">
        <v>10</v>
      </c>
      <c r="D44" s="26"/>
      <c r="E44" s="26" t="s">
        <v>3797</v>
      </c>
      <c r="F44" s="56">
        <v>20</v>
      </c>
      <c r="G44" s="26"/>
      <c r="H44" s="56">
        <v>9</v>
      </c>
      <c r="I44" s="9" t="s">
        <v>3757</v>
      </c>
      <c r="J44" s="135" t="s">
        <v>2853</v>
      </c>
      <c r="K44" s="4" t="s">
        <v>3721</v>
      </c>
      <c r="L44" s="4" t="s">
        <v>3798</v>
      </c>
      <c r="M44" s="4" t="s">
        <v>491</v>
      </c>
      <c r="N44" s="4" t="s">
        <v>652</v>
      </c>
      <c r="O44" s="4" t="s">
        <v>667</v>
      </c>
      <c r="P44" s="4" t="s">
        <v>75</v>
      </c>
      <c r="R44" s="4" t="s">
        <v>1788</v>
      </c>
      <c r="S44" s="4" t="s">
        <v>1488</v>
      </c>
      <c r="T44" s="4" t="s">
        <v>274</v>
      </c>
      <c r="U44" s="4" t="s">
        <v>958</v>
      </c>
      <c r="V44" s="4" t="s">
        <v>958</v>
      </c>
      <c r="W44" s="4" t="s">
        <v>1770</v>
      </c>
    </row>
    <row r="45" spans="1:16" x14ac:dyDescent="0.25">
      <c r="A45" t="s">
        <v>3799</v>
      </c>
      <c r="B45" s="6" t="s">
        <v>3133</v>
      </c>
      <c r="C45" s="9">
        <v>4.6</v>
      </c>
      <c r="D45" s="6"/>
      <c r="E45" s="6" t="s">
        <v>3134</v>
      </c>
      <c r="F45" s="9">
        <v>5</v>
      </c>
      <c r="G45" s="26"/>
      <c r="H45" s="56">
        <v>6</v>
      </c>
      <c r="I45" s="9" t="s">
        <v>3800</v>
      </c>
      <c r="J45" t="s">
        <v>3801</v>
      </c>
      <c r="K45" t="s">
        <v>3792</v>
      </c>
      <c r="L45" t="s">
        <v>117</v>
      </c>
      <c r="M45" t="s">
        <v>966</v>
      </c>
      <c r="N45" t="s">
        <v>598</v>
      </c>
      <c r="O45" t="s">
        <v>413</v>
      </c>
      <c r="P45" t="s">
        <v>965</v>
      </c>
    </row>
    <row r="46" spans="1:20" x14ac:dyDescent="0.25">
      <c r="A46" t="s">
        <v>3802</v>
      </c>
      <c r="B46" s="6" t="s">
        <v>3135</v>
      </c>
      <c r="C46" s="9">
        <v>4.6</v>
      </c>
      <c r="D46" s="6"/>
      <c r="E46" s="6" t="s">
        <v>3136</v>
      </c>
      <c r="F46" s="9">
        <v>5</v>
      </c>
      <c r="G46" s="26"/>
      <c r="H46" s="56">
        <v>12</v>
      </c>
      <c r="I46" s="9" t="s">
        <v>3803</v>
      </c>
      <c r="J46" t="s">
        <v>885</v>
      </c>
      <c r="K46" t="s">
        <v>2907</v>
      </c>
      <c r="L46" t="s">
        <v>1336</v>
      </c>
      <c r="M46" t="s">
        <v>934</v>
      </c>
      <c r="N46" t="s">
        <v>827</v>
      </c>
      <c r="O46" t="s">
        <v>24</v>
      </c>
      <c r="P46" t="s">
        <v>3804</v>
      </c>
      <c r="Q46" t="s">
        <v>603</v>
      </c>
      <c r="R46" t="s">
        <v>3805</v>
      </c>
      <c r="S46" t="s">
        <v>870</v>
      </c>
      <c r="T46" t="s">
        <v>3806</v>
      </c>
    </row>
    <row r="47" spans="1:10" x14ac:dyDescent="0.25">
      <c r="A47" t="s">
        <v>3807</v>
      </c>
      <c r="B47" s="6" t="s">
        <v>3808</v>
      </c>
      <c r="C47" s="9"/>
      <c r="D47" s="6"/>
      <c r="E47" s="6" t="s">
        <v>3809</v>
      </c>
      <c r="F47" s="9">
        <v>24</v>
      </c>
      <c r="G47" s="32" t="s">
        <v>3745</v>
      </c>
      <c r="H47" s="56">
        <v>7</v>
      </c>
      <c r="I47" s="9" t="s">
        <v>1439</v>
      </c>
      <c r="J47" t="s">
        <v>3810</v>
      </c>
    </row>
    <row r="48" spans="1:10" x14ac:dyDescent="0.25">
      <c r="A48" t="s">
        <v>3811</v>
      </c>
      <c r="B48" s="6" t="s">
        <v>3812</v>
      </c>
      <c r="C48" s="9"/>
      <c r="D48" s="6"/>
      <c r="E48" s="6" t="s">
        <v>3813</v>
      </c>
      <c r="F48" s="9">
        <v>24</v>
      </c>
      <c r="G48" s="26"/>
      <c r="H48" s="56">
        <v>2</v>
      </c>
      <c r="I48" s="9" t="s">
        <v>1679</v>
      </c>
      <c r="J48" t="s">
        <v>682</v>
      </c>
    </row>
    <row r="49" spans="1:16" x14ac:dyDescent="0.25">
      <c r="A49" t="s">
        <v>3814</v>
      </c>
      <c r="B49" s="6" t="s">
        <v>3138</v>
      </c>
      <c r="C49" s="9">
        <v>8.1</v>
      </c>
      <c r="D49" s="6"/>
      <c r="E49" s="6" t="s">
        <v>3139</v>
      </c>
      <c r="F49" s="9">
        <v>24</v>
      </c>
      <c r="G49" s="26"/>
      <c r="H49" s="9">
        <v>7</v>
      </c>
      <c r="I49" s="9" t="s">
        <v>3815</v>
      </c>
      <c r="J49" t="s">
        <v>3816</v>
      </c>
      <c r="K49" t="s">
        <v>303</v>
      </c>
      <c r="L49" t="s">
        <v>191</v>
      </c>
      <c r="M49" t="s">
        <v>275</v>
      </c>
      <c r="N49" t="s">
        <v>997</v>
      </c>
      <c r="O49" t="s">
        <v>2534</v>
      </c>
      <c r="P49" t="s">
        <v>48</v>
      </c>
    </row>
    <row r="50" spans="1:13" x14ac:dyDescent="0.25">
      <c r="A50" t="s">
        <v>3817</v>
      </c>
      <c r="B50" s="6" t="s">
        <v>3141</v>
      </c>
      <c r="C50" s="9">
        <v>8.1</v>
      </c>
      <c r="D50" s="6"/>
      <c r="E50" s="6" t="s">
        <v>3818</v>
      </c>
      <c r="F50" s="9">
        <v>10</v>
      </c>
      <c r="G50" s="26"/>
      <c r="H50" s="56">
        <v>2</v>
      </c>
      <c r="I50" s="9" t="s">
        <v>3819</v>
      </c>
      <c r="J50" t="s">
        <v>1166</v>
      </c>
      <c r="K50" t="s">
        <v>713</v>
      </c>
      <c r="L50" t="s">
        <v>1355</v>
      </c>
      <c r="M50" t="s">
        <v>997</v>
      </c>
    </row>
    <row r="51" spans="1:18" x14ac:dyDescent="0.25">
      <c r="A51" t="s">
        <v>3820</v>
      </c>
      <c r="B51" s="6" t="s">
        <v>3142</v>
      </c>
      <c r="C51" s="9">
        <v>8.1</v>
      </c>
      <c r="D51" s="6"/>
      <c r="E51" s="6" t="s">
        <v>3143</v>
      </c>
      <c r="F51" s="9">
        <v>24</v>
      </c>
      <c r="G51" s="26"/>
      <c r="H51" s="56">
        <v>5</v>
      </c>
      <c r="I51" s="9" t="s">
        <v>3821</v>
      </c>
      <c r="J51" t="s">
        <v>3822</v>
      </c>
      <c r="K51" t="s">
        <v>2198</v>
      </c>
      <c r="L51" t="s">
        <v>626</v>
      </c>
      <c r="M51" t="s">
        <v>627</v>
      </c>
      <c r="N51" t="s">
        <v>275</v>
      </c>
      <c r="O51" t="s">
        <v>3823</v>
      </c>
      <c r="P51" t="s">
        <v>2728</v>
      </c>
      <c r="Q51" t="s">
        <v>845</v>
      </c>
      <c r="R51" t="s">
        <v>2373</v>
      </c>
    </row>
    <row r="52" spans="1:14" x14ac:dyDescent="0.25">
      <c r="A52" t="s">
        <v>3824</v>
      </c>
      <c r="B52" s="6" t="s">
        <v>3825</v>
      </c>
      <c r="C52" s="9">
        <v>8.1</v>
      </c>
      <c r="D52" s="6"/>
      <c r="E52" s="6" t="s">
        <v>3826</v>
      </c>
      <c r="F52" s="9">
        <v>10</v>
      </c>
      <c r="G52" s="26"/>
      <c r="H52" s="56">
        <v>7</v>
      </c>
      <c r="I52" s="9" t="s">
        <v>3827</v>
      </c>
      <c r="J52" t="s">
        <v>1002</v>
      </c>
      <c r="K52" t="s">
        <v>539</v>
      </c>
      <c r="L52" t="s">
        <v>2892</v>
      </c>
      <c r="M52" t="s">
        <v>1323</v>
      </c>
      <c r="N52" t="s">
        <v>284</v>
      </c>
    </row>
    <row r="53" spans="1:14" x14ac:dyDescent="0.25">
      <c r="A53" t="s">
        <v>3828</v>
      </c>
      <c r="B53" s="76" t="s">
        <v>3145</v>
      </c>
      <c r="C53" s="272"/>
      <c r="D53" s="55"/>
      <c r="E53" s="55" t="s">
        <v>3146</v>
      </c>
      <c r="F53" s="9">
        <v>24</v>
      </c>
      <c r="G53" s="32"/>
      <c r="H53" s="56">
        <v>2</v>
      </c>
      <c r="I53" s="9" t="s">
        <v>1269</v>
      </c>
      <c r="J53" t="s">
        <v>3148</v>
      </c>
      <c r="K53" t="s">
        <v>3829</v>
      </c>
      <c r="L53" t="s">
        <v>3830</v>
      </c>
      <c r="M53" t="s">
        <v>257</v>
      </c>
      <c r="N53" t="s">
        <v>361</v>
      </c>
    </row>
    <row r="54" spans="1:11" x14ac:dyDescent="0.25">
      <c r="A54" t="s">
        <v>3831</v>
      </c>
      <c r="B54" s="76" t="s">
        <v>3832</v>
      </c>
      <c r="C54" s="272"/>
      <c r="D54" s="55"/>
      <c r="E54" s="55" t="s">
        <v>3833</v>
      </c>
      <c r="F54" s="9">
        <v>10</v>
      </c>
      <c r="G54" s="32"/>
      <c r="H54" s="56">
        <v>5</v>
      </c>
      <c r="I54" s="9" t="s">
        <v>3834</v>
      </c>
      <c r="J54" t="s">
        <v>589</v>
      </c>
      <c r="K54" t="s">
        <v>2508</v>
      </c>
    </row>
    <row r="55" spans="1:14" x14ac:dyDescent="0.25">
      <c r="A55" t="s">
        <v>3835</v>
      </c>
      <c r="B55" s="76" t="s">
        <v>3149</v>
      </c>
      <c r="C55" s="272">
        <v>7.8</v>
      </c>
      <c r="D55" s="55" t="s">
        <v>5</v>
      </c>
      <c r="E55" s="55" t="s">
        <v>3150</v>
      </c>
      <c r="F55" s="9">
        <v>24</v>
      </c>
      <c r="G55" s="32"/>
      <c r="H55" s="56">
        <v>4</v>
      </c>
      <c r="I55" s="9" t="s">
        <v>3836</v>
      </c>
      <c r="J55" t="s">
        <v>3148</v>
      </c>
      <c r="K55" t="s">
        <v>3829</v>
      </c>
      <c r="L55" t="s">
        <v>3837</v>
      </c>
      <c r="M55" t="s">
        <v>3777</v>
      </c>
      <c r="N55" t="s">
        <v>502</v>
      </c>
    </row>
    <row r="56" spans="1:9" x14ac:dyDescent="0.25">
      <c r="A56" t="s">
        <v>2393</v>
      </c>
      <c r="B56" s="76" t="s">
        <v>3838</v>
      </c>
      <c r="C56" s="272"/>
      <c r="D56" s="55"/>
      <c r="E56" s="55" t="s">
        <v>3839</v>
      </c>
      <c r="F56" s="9">
        <v>10</v>
      </c>
      <c r="G56" s="32"/>
      <c r="H56" s="56">
        <v>3</v>
      </c>
      <c r="I56" s="9" t="s">
        <v>3840</v>
      </c>
    </row>
    <row r="57" spans="1:11" x14ac:dyDescent="0.25">
      <c r="A57" t="s">
        <v>2393</v>
      </c>
      <c r="B57" s="76" t="s">
        <v>3841</v>
      </c>
      <c r="C57" s="272"/>
      <c r="D57" s="55"/>
      <c r="E57" s="55" t="s">
        <v>3842</v>
      </c>
      <c r="F57" s="9">
        <v>24</v>
      </c>
      <c r="G57" s="32"/>
      <c r="H57" s="56">
        <v>5</v>
      </c>
      <c r="I57" s="9" t="s">
        <v>3843</v>
      </c>
      <c r="J57" t="s">
        <v>3844</v>
      </c>
      <c r="K57" t="s">
        <v>1289</v>
      </c>
    </row>
    <row r="58" spans="1:10" x14ac:dyDescent="0.25">
      <c r="A58" t="s">
        <v>3845</v>
      </c>
      <c r="B58" s="76" t="s">
        <v>3846</v>
      </c>
      <c r="C58" s="272"/>
      <c r="D58" s="55"/>
      <c r="E58" s="55" t="s">
        <v>3847</v>
      </c>
      <c r="F58" s="9">
        <v>10</v>
      </c>
      <c r="G58" s="32"/>
      <c r="H58" s="56">
        <v>5</v>
      </c>
      <c r="I58" s="9" t="s">
        <v>889</v>
      </c>
      <c r="J58" t="s">
        <v>2454</v>
      </c>
    </row>
    <row r="59" spans="1:12" x14ac:dyDescent="0.25">
      <c r="A59" t="s">
        <v>3848</v>
      </c>
      <c r="B59" s="76" t="s">
        <v>3152</v>
      </c>
      <c r="C59" s="272"/>
      <c r="D59" s="55">
        <v>5</v>
      </c>
      <c r="E59" s="55" t="s">
        <v>3153</v>
      </c>
      <c r="F59" s="9">
        <v>24</v>
      </c>
      <c r="G59" s="32"/>
      <c r="H59" s="56">
        <v>4</v>
      </c>
      <c r="I59" s="9" t="s">
        <v>3800</v>
      </c>
      <c r="J59" t="s">
        <v>1495</v>
      </c>
      <c r="K59" t="s">
        <v>102</v>
      </c>
      <c r="L59" t="s">
        <v>1431</v>
      </c>
    </row>
    <row r="60" spans="1:9" x14ac:dyDescent="0.25">
      <c r="A60" t="s">
        <v>3849</v>
      </c>
      <c r="B60" s="76" t="s">
        <v>3850</v>
      </c>
      <c r="C60" s="272"/>
      <c r="D60" s="55"/>
      <c r="E60" s="55" t="s">
        <v>3851</v>
      </c>
      <c r="F60" s="9">
        <v>10</v>
      </c>
      <c r="G60" s="32"/>
      <c r="H60" s="56">
        <v>7</v>
      </c>
      <c r="I60" s="9" t="s">
        <v>889</v>
      </c>
    </row>
    <row r="61" spans="1:25" x14ac:dyDescent="0.25">
      <c r="A61" t="s">
        <v>3852</v>
      </c>
      <c r="B61" s="76" t="s">
        <v>3155</v>
      </c>
      <c r="C61" s="272">
        <v>5.3</v>
      </c>
      <c r="D61" s="55" t="s">
        <v>5</v>
      </c>
      <c r="E61" s="55" t="s">
        <v>3156</v>
      </c>
      <c r="F61" s="9">
        <v>24</v>
      </c>
      <c r="G61" s="32" t="s">
        <v>3745</v>
      </c>
      <c r="H61" s="56">
        <v>8</v>
      </c>
      <c r="I61" s="9" t="s">
        <v>3827</v>
      </c>
      <c r="J61" t="s">
        <v>43</v>
      </c>
      <c r="K61" t="s">
        <v>135</v>
      </c>
      <c r="L61" t="s">
        <v>464</v>
      </c>
      <c r="N61" t="s">
        <v>3853</v>
      </c>
      <c r="O61" t="s">
        <v>95</v>
      </c>
      <c r="P61" t="s">
        <v>2539</v>
      </c>
      <c r="Q61" t="s">
        <v>2497</v>
      </c>
      <c r="R61" t="s">
        <v>1336</v>
      </c>
      <c r="S61" t="s">
        <v>951</v>
      </c>
      <c r="T61" t="s">
        <v>1581</v>
      </c>
      <c r="U61" t="s">
        <v>3854</v>
      </c>
      <c r="V61" t="s">
        <v>3855</v>
      </c>
      <c r="W61" t="s">
        <v>3856</v>
      </c>
      <c r="X61" t="s">
        <v>2665</v>
      </c>
      <c r="Y61" t="s">
        <v>3857</v>
      </c>
    </row>
    <row r="62" spans="1:16" x14ac:dyDescent="0.25">
      <c r="A62" t="s">
        <v>3858</v>
      </c>
      <c r="B62" s="76" t="s">
        <v>3159</v>
      </c>
      <c r="C62" s="272">
        <v>5.3</v>
      </c>
      <c r="D62" s="55" t="s">
        <v>5</v>
      </c>
      <c r="E62" s="55" t="s">
        <v>3160</v>
      </c>
      <c r="F62" s="9">
        <v>24</v>
      </c>
      <c r="G62" s="32"/>
      <c r="H62" s="56">
        <v>5</v>
      </c>
      <c r="I62" s="9" t="s">
        <v>1265</v>
      </c>
      <c r="J62" t="s">
        <v>1470</v>
      </c>
      <c r="K62" t="s">
        <v>1716</v>
      </c>
      <c r="L62" t="s">
        <v>275</v>
      </c>
      <c r="M62" t="s">
        <v>958</v>
      </c>
      <c r="N62" t="s">
        <v>85</v>
      </c>
      <c r="O62" t="s">
        <v>1987</v>
      </c>
      <c r="P62" t="s">
        <v>84</v>
      </c>
    </row>
    <row r="63" spans="1:24" x14ac:dyDescent="0.25">
      <c r="A63" t="s">
        <v>3859</v>
      </c>
      <c r="B63" s="76" t="s">
        <v>3860</v>
      </c>
      <c r="C63" s="272">
        <v>7.2</v>
      </c>
      <c r="D63" s="55" t="s">
        <v>5</v>
      </c>
      <c r="E63" s="55" t="s">
        <v>3861</v>
      </c>
      <c r="F63" s="9">
        <v>10</v>
      </c>
      <c r="G63" s="32" t="s">
        <v>3745</v>
      </c>
      <c r="H63" s="56">
        <v>1</v>
      </c>
      <c r="I63" s="9" t="s">
        <v>1269</v>
      </c>
      <c r="J63" t="s">
        <v>2582</v>
      </c>
      <c r="K63" t="s">
        <v>928</v>
      </c>
      <c r="M63" t="s">
        <v>3862</v>
      </c>
      <c r="N63" t="s">
        <v>231</v>
      </c>
      <c r="O63" t="s">
        <v>537</v>
      </c>
      <c r="P63" t="s">
        <v>1681</v>
      </c>
      <c r="Q63" t="s">
        <v>682</v>
      </c>
      <c r="R63" t="s">
        <v>3863</v>
      </c>
      <c r="S63" t="s">
        <v>1198</v>
      </c>
      <c r="T63" t="s">
        <v>2267</v>
      </c>
      <c r="U63" t="s">
        <v>206</v>
      </c>
      <c r="V63" t="s">
        <v>589</v>
      </c>
      <c r="W63" t="s">
        <v>3864</v>
      </c>
      <c r="X63" t="s">
        <v>219</v>
      </c>
    </row>
    <row r="64" spans="1:15" x14ac:dyDescent="0.25">
      <c r="A64" t="s">
        <v>3865</v>
      </c>
      <c r="B64" s="76" t="s">
        <v>3866</v>
      </c>
      <c r="C64" s="272">
        <v>7.2</v>
      </c>
      <c r="D64" s="55" t="s">
        <v>5</v>
      </c>
      <c r="E64" s="55" t="s">
        <v>3867</v>
      </c>
      <c r="F64" s="9">
        <v>10</v>
      </c>
      <c r="G64" s="32"/>
      <c r="H64" s="56">
        <v>6</v>
      </c>
      <c r="I64" s="9" t="s">
        <v>1220</v>
      </c>
      <c r="J64" t="s">
        <v>625</v>
      </c>
      <c r="K64" t="s">
        <v>625</v>
      </c>
      <c r="L64" t="s">
        <v>231</v>
      </c>
      <c r="M64" t="s">
        <v>626</v>
      </c>
      <c r="N64" t="s">
        <v>1554</v>
      </c>
      <c r="O64" t="s">
        <v>844</v>
      </c>
    </row>
    <row r="65" spans="1:14" x14ac:dyDescent="0.25">
      <c r="A65" t="s">
        <v>3868</v>
      </c>
      <c r="B65" s="49" t="s">
        <v>3073</v>
      </c>
      <c r="C65" s="154">
        <v>7</v>
      </c>
      <c r="D65" s="101" t="s">
        <v>5</v>
      </c>
      <c r="E65" s="101" t="s">
        <v>3869</v>
      </c>
      <c r="F65" s="9">
        <v>10</v>
      </c>
      <c r="G65" s="10"/>
      <c r="H65" s="9">
        <v>2</v>
      </c>
      <c r="I65" s="9" t="s">
        <v>1053</v>
      </c>
      <c r="J65" t="s">
        <v>900</v>
      </c>
      <c r="K65" t="s">
        <v>909</v>
      </c>
      <c r="L65" t="s">
        <v>126</v>
      </c>
      <c r="M65" t="s">
        <v>432</v>
      </c>
      <c r="N65" t="s">
        <v>285</v>
      </c>
    </row>
    <row r="66" spans="1:14" x14ac:dyDescent="0.25">
      <c r="A66" t="s">
        <v>2393</v>
      </c>
      <c r="B66" s="76" t="s">
        <v>3870</v>
      </c>
      <c r="C66" s="272"/>
      <c r="D66" s="55" t="s">
        <v>5</v>
      </c>
      <c r="E66" s="55" t="s">
        <v>3871</v>
      </c>
      <c r="F66" s="9">
        <v>10</v>
      </c>
      <c r="G66" s="32"/>
      <c r="H66" s="56">
        <v>1</v>
      </c>
      <c r="I66" s="9" t="s">
        <v>3872</v>
      </c>
      <c r="J66" t="s">
        <v>2225</v>
      </c>
      <c r="K66" t="s">
        <v>909</v>
      </c>
      <c r="L66" t="s">
        <v>839</v>
      </c>
      <c r="M66" t="s">
        <v>565</v>
      </c>
      <c r="N66" t="s">
        <v>1891</v>
      </c>
    </row>
    <row r="67" spans="1:20" x14ac:dyDescent="0.25">
      <c r="A67" t="s">
        <v>2393</v>
      </c>
      <c r="B67" s="76" t="s">
        <v>3161</v>
      </c>
      <c r="C67" s="272">
        <v>8</v>
      </c>
      <c r="D67" s="6"/>
      <c r="E67" s="6" t="s">
        <v>3162</v>
      </c>
      <c r="F67" s="9">
        <v>4</v>
      </c>
      <c r="G67" s="32"/>
      <c r="H67" s="56">
        <v>7</v>
      </c>
      <c r="I67" s="9" t="s">
        <v>3803</v>
      </c>
      <c r="J67" t="s">
        <v>692</v>
      </c>
      <c r="K67" t="s">
        <v>3873</v>
      </c>
      <c r="L67" t="s">
        <v>952</v>
      </c>
      <c r="M67" t="s">
        <v>500</v>
      </c>
      <c r="N67" t="s">
        <v>1788</v>
      </c>
      <c r="O67" t="s">
        <v>3874</v>
      </c>
      <c r="P67" t="s">
        <v>142</v>
      </c>
      <c r="Q67" t="s">
        <v>259</v>
      </c>
      <c r="R67" t="s">
        <v>434</v>
      </c>
      <c r="S67" t="s">
        <v>1031</v>
      </c>
      <c r="T67" t="s">
        <v>404</v>
      </c>
    </row>
    <row r="68" spans="1:22" x14ac:dyDescent="0.25">
      <c r="A68" t="s">
        <v>2393</v>
      </c>
      <c r="B68" s="76" t="s">
        <v>3163</v>
      </c>
      <c r="C68" s="272">
        <v>8</v>
      </c>
      <c r="D68" s="6"/>
      <c r="E68" s="6" t="s">
        <v>3164</v>
      </c>
      <c r="F68" s="9">
        <v>4</v>
      </c>
      <c r="G68" s="32"/>
      <c r="H68" s="56">
        <v>6</v>
      </c>
      <c r="I68" s="9" t="s">
        <v>3784</v>
      </c>
      <c r="J68" t="s">
        <v>909</v>
      </c>
      <c r="K68" t="s">
        <v>856</v>
      </c>
      <c r="L68" t="s">
        <v>1717</v>
      </c>
      <c r="M68" t="s">
        <v>1717</v>
      </c>
      <c r="N68" t="s">
        <v>1657</v>
      </c>
      <c r="O68" t="s">
        <v>216</v>
      </c>
      <c r="P68" t="s">
        <v>500</v>
      </c>
      <c r="Q68" t="s">
        <v>2729</v>
      </c>
      <c r="R68" t="s">
        <v>1167</v>
      </c>
      <c r="S68" t="s">
        <v>1031</v>
      </c>
      <c r="T68" t="s">
        <v>64</v>
      </c>
      <c r="U68" t="s">
        <v>224</v>
      </c>
      <c r="V68" t="s">
        <v>362</v>
      </c>
    </row>
    <row r="69" spans="1:19" x14ac:dyDescent="0.25">
      <c r="A69" t="s">
        <v>2393</v>
      </c>
      <c r="B69" s="76" t="s">
        <v>3875</v>
      </c>
      <c r="C69" s="272"/>
      <c r="D69" s="55" t="s">
        <v>5</v>
      </c>
      <c r="E69" s="6" t="s">
        <v>3876</v>
      </c>
      <c r="F69" s="9">
        <v>8</v>
      </c>
      <c r="G69" s="32"/>
      <c r="H69" s="56">
        <v>3</v>
      </c>
      <c r="I69" s="9" t="s">
        <v>3872</v>
      </c>
      <c r="J69" t="s">
        <v>3877</v>
      </c>
      <c r="K69" t="s">
        <v>1718</v>
      </c>
      <c r="L69" t="s">
        <v>1289</v>
      </c>
      <c r="M69" t="s">
        <v>3878</v>
      </c>
      <c r="N69" t="s">
        <v>3879</v>
      </c>
      <c r="O69" t="s">
        <v>536</v>
      </c>
      <c r="P69" t="s">
        <v>86</v>
      </c>
      <c r="Q69" t="s">
        <v>490</v>
      </c>
      <c r="R69" t="s">
        <v>1987</v>
      </c>
      <c r="S69" t="s">
        <v>2438</v>
      </c>
    </row>
    <row r="70" spans="1:14" x14ac:dyDescent="0.25">
      <c r="A70" t="s">
        <v>2393</v>
      </c>
      <c r="B70" s="76" t="s">
        <v>3880</v>
      </c>
      <c r="C70" s="272"/>
      <c r="D70" s="55" t="s">
        <v>5</v>
      </c>
      <c r="E70" s="6" t="s">
        <v>3881</v>
      </c>
      <c r="F70" s="9">
        <v>8</v>
      </c>
      <c r="G70" s="32" t="s">
        <v>3745</v>
      </c>
      <c r="H70" s="56">
        <v>4</v>
      </c>
      <c r="I70" s="9" t="s">
        <v>3821</v>
      </c>
      <c r="J70" t="s">
        <v>199</v>
      </c>
      <c r="K70" t="s">
        <v>22</v>
      </c>
      <c r="L70" t="s">
        <v>536</v>
      </c>
      <c r="M70" t="s">
        <v>1810</v>
      </c>
      <c r="N70" t="s">
        <v>3882</v>
      </c>
    </row>
    <row r="71" spans="1:15" x14ac:dyDescent="0.25">
      <c r="A71" t="s">
        <v>3883</v>
      </c>
      <c r="B71" s="76" t="s">
        <v>3884</v>
      </c>
      <c r="C71" s="272"/>
      <c r="D71" s="55" t="s">
        <v>5</v>
      </c>
      <c r="E71" s="6" t="s">
        <v>3885</v>
      </c>
      <c r="F71" s="9">
        <v>20</v>
      </c>
      <c r="G71" s="32"/>
      <c r="H71" s="56">
        <v>11</v>
      </c>
      <c r="I71" s="9" t="s">
        <v>3784</v>
      </c>
      <c r="J71" t="s">
        <v>3886</v>
      </c>
      <c r="K71" t="s">
        <v>3863</v>
      </c>
      <c r="L71" t="s">
        <v>3887</v>
      </c>
      <c r="M71" t="s">
        <v>3888</v>
      </c>
      <c r="N71" t="s">
        <v>2368</v>
      </c>
      <c r="O71" t="s">
        <v>3889</v>
      </c>
    </row>
    <row r="72" spans="1:12" x14ac:dyDescent="0.25">
      <c r="A72" t="s">
        <v>3890</v>
      </c>
      <c r="B72" s="76" t="s">
        <v>3891</v>
      </c>
      <c r="C72" s="272"/>
      <c r="D72" s="55"/>
      <c r="E72" s="6" t="s">
        <v>3892</v>
      </c>
      <c r="F72" s="9">
        <v>20</v>
      </c>
      <c r="G72" s="32" t="s">
        <v>3745</v>
      </c>
      <c r="H72" s="56">
        <v>6</v>
      </c>
      <c r="I72" s="9" t="s">
        <v>3893</v>
      </c>
      <c r="J72" t="s">
        <v>3894</v>
      </c>
      <c r="K72" t="s">
        <v>3895</v>
      </c>
      <c r="L72" t="s">
        <v>295</v>
      </c>
    </row>
    <row r="73" spans="1:13" x14ac:dyDescent="0.25">
      <c r="A73" t="s">
        <v>3896</v>
      </c>
      <c r="B73" s="76" t="s">
        <v>3897</v>
      </c>
      <c r="C73" s="272">
        <v>10.4</v>
      </c>
      <c r="D73" s="55" t="s">
        <v>5</v>
      </c>
      <c r="E73" s="6" t="s">
        <v>3898</v>
      </c>
      <c r="F73" s="9">
        <v>10</v>
      </c>
      <c r="G73" s="32"/>
      <c r="H73" s="56">
        <v>1</v>
      </c>
      <c r="I73" s="9" t="s">
        <v>1220</v>
      </c>
      <c r="J73" t="s">
        <v>258</v>
      </c>
      <c r="K73" t="s">
        <v>895</v>
      </c>
      <c r="L73" t="s">
        <v>158</v>
      </c>
      <c r="M73" t="s">
        <v>426</v>
      </c>
    </row>
    <row r="74" spans="1:11" x14ac:dyDescent="0.25">
      <c r="A74" t="s">
        <v>3899</v>
      </c>
      <c r="B74" s="76" t="s">
        <v>3900</v>
      </c>
      <c r="C74" s="272">
        <v>10.4</v>
      </c>
      <c r="D74" s="55" t="s">
        <v>5</v>
      </c>
      <c r="E74" s="6" t="s">
        <v>3901</v>
      </c>
      <c r="F74" s="9">
        <v>10</v>
      </c>
      <c r="G74" s="32"/>
      <c r="H74" s="100">
        <v>1</v>
      </c>
      <c r="I74" s="9" t="s">
        <v>889</v>
      </c>
      <c r="J74" t="s">
        <v>258</v>
      </c>
      <c r="K74" t="s">
        <v>403</v>
      </c>
    </row>
    <row r="75" spans="1:11" x14ac:dyDescent="0.25">
      <c r="A75" t="s">
        <v>2393</v>
      </c>
      <c r="B75" s="6" t="s">
        <v>3165</v>
      </c>
      <c r="C75" s="9"/>
      <c r="D75" s="6"/>
      <c r="E75" s="6" t="s">
        <v>3166</v>
      </c>
      <c r="F75" s="9">
        <v>10</v>
      </c>
      <c r="G75" s="26"/>
      <c r="H75" s="56">
        <v>3</v>
      </c>
      <c r="I75" s="9" t="s">
        <v>3902</v>
      </c>
      <c r="J75" t="s">
        <v>1131</v>
      </c>
      <c r="K75" t="s">
        <v>3257</v>
      </c>
    </row>
    <row r="76" spans="1:17" x14ac:dyDescent="0.25">
      <c r="A76" t="s">
        <v>3903</v>
      </c>
      <c r="B76" s="6" t="s">
        <v>3167</v>
      </c>
      <c r="C76" s="9"/>
      <c r="D76" s="6"/>
      <c r="E76" s="6" t="s">
        <v>3168</v>
      </c>
      <c r="F76" s="9">
        <v>10</v>
      </c>
      <c r="G76" s="26"/>
      <c r="H76" s="9">
        <v>4</v>
      </c>
      <c r="I76" s="9">
        <v>39331</v>
      </c>
      <c r="J76" t="s">
        <v>3904</v>
      </c>
      <c r="K76" t="s">
        <v>1008</v>
      </c>
      <c r="L76" t="s">
        <v>1289</v>
      </c>
      <c r="M76" t="s">
        <v>428</v>
      </c>
      <c r="N76" t="s">
        <v>3783</v>
      </c>
      <c r="Q76" t="s">
        <v>3905</v>
      </c>
    </row>
    <row r="77" spans="1:11" x14ac:dyDescent="0.25">
      <c r="A77" t="s">
        <v>3906</v>
      </c>
      <c r="B77" s="76" t="s">
        <v>3907</v>
      </c>
      <c r="C77" s="272"/>
      <c r="D77" s="6"/>
      <c r="E77" s="6" t="s">
        <v>3908</v>
      </c>
      <c r="F77" s="56">
        <v>10</v>
      </c>
      <c r="G77" s="26"/>
      <c r="H77" s="56">
        <v>6</v>
      </c>
      <c r="I77" s="56" t="s">
        <v>3909</v>
      </c>
      <c r="J77" t="s">
        <v>508</v>
      </c>
      <c r="K77" t="s">
        <v>3910</v>
      </c>
    </row>
    <row r="78" spans="1:15" x14ac:dyDescent="0.25">
      <c r="A78" t="s">
        <v>3911</v>
      </c>
      <c r="B78" s="76" t="s">
        <v>3170</v>
      </c>
      <c r="C78" s="272"/>
      <c r="D78" s="55"/>
      <c r="E78" s="6" t="s">
        <v>3171</v>
      </c>
      <c r="F78" s="9">
        <v>10</v>
      </c>
      <c r="G78" s="32"/>
      <c r="H78" s="9">
        <v>4</v>
      </c>
      <c r="I78" s="9" t="s">
        <v>3902</v>
      </c>
      <c r="J78" t="s">
        <v>3173</v>
      </c>
      <c r="K78" t="s">
        <v>3912</v>
      </c>
      <c r="L78" t="s">
        <v>986</v>
      </c>
      <c r="M78" t="s">
        <v>3805</v>
      </c>
      <c r="N78" t="s">
        <v>652</v>
      </c>
      <c r="O78" t="s">
        <v>158</v>
      </c>
    </row>
    <row r="79" spans="1:9" x14ac:dyDescent="0.25">
      <c r="A79" t="s">
        <v>2393</v>
      </c>
      <c r="B79" s="76" t="s">
        <v>3913</v>
      </c>
      <c r="C79" s="272"/>
      <c r="D79" s="55"/>
      <c r="E79" s="6" t="s">
        <v>3914</v>
      </c>
      <c r="F79" s="9">
        <v>10</v>
      </c>
      <c r="G79" s="32"/>
      <c r="H79" s="56">
        <v>3</v>
      </c>
      <c r="I79" s="9" t="s">
        <v>3840</v>
      </c>
    </row>
    <row r="80" spans="1:10" x14ac:dyDescent="0.25">
      <c r="A80" t="s">
        <v>2393</v>
      </c>
      <c r="B80" s="76" t="s">
        <v>3915</v>
      </c>
      <c r="C80" s="272"/>
      <c r="D80" s="55"/>
      <c r="E80" s="6" t="s">
        <v>3914</v>
      </c>
      <c r="F80" s="9">
        <v>10</v>
      </c>
      <c r="G80" s="32"/>
      <c r="H80" s="56">
        <v>2</v>
      </c>
      <c r="I80" s="9" t="s">
        <v>3840</v>
      </c>
      <c r="J80" t="s">
        <v>2077</v>
      </c>
    </row>
    <row r="81" spans="1:14" x14ac:dyDescent="0.25">
      <c r="A81" t="s">
        <v>3916</v>
      </c>
      <c r="B81" s="76" t="s">
        <v>3174</v>
      </c>
      <c r="C81" s="272"/>
      <c r="D81" s="55"/>
      <c r="E81" s="6" t="s">
        <v>3175</v>
      </c>
      <c r="F81" s="9">
        <v>10</v>
      </c>
      <c r="G81" s="10"/>
      <c r="H81" s="56">
        <v>3</v>
      </c>
      <c r="I81" s="9" t="s">
        <v>3772</v>
      </c>
      <c r="J81" t="s">
        <v>3176</v>
      </c>
      <c r="K81" t="s">
        <v>3917</v>
      </c>
      <c r="L81" t="s">
        <v>1289</v>
      </c>
      <c r="M81" t="s">
        <v>1071</v>
      </c>
      <c r="N81" t="s">
        <v>2267</v>
      </c>
    </row>
    <row r="82" spans="1:12" x14ac:dyDescent="0.25">
      <c r="A82" t="s">
        <v>3918</v>
      </c>
      <c r="B82" s="76" t="s">
        <v>3177</v>
      </c>
      <c r="C82" s="272"/>
      <c r="D82" s="55"/>
      <c r="E82" s="6" t="s">
        <v>3178</v>
      </c>
      <c r="F82" s="9">
        <v>10</v>
      </c>
      <c r="G82" s="10"/>
      <c r="H82" s="56">
        <v>6</v>
      </c>
      <c r="I82" s="9" t="s">
        <v>3843</v>
      </c>
      <c r="J82" t="s">
        <v>900</v>
      </c>
      <c r="K82" t="s">
        <v>3917</v>
      </c>
      <c r="L82" t="s">
        <v>1289</v>
      </c>
    </row>
    <row r="83" spans="1:9" x14ac:dyDescent="0.25">
      <c r="A83" t="s">
        <v>2393</v>
      </c>
      <c r="B83" s="76" t="s">
        <v>3919</v>
      </c>
      <c r="C83" s="272">
        <v>12.9</v>
      </c>
      <c r="D83" s="55"/>
      <c r="E83" s="6" t="s">
        <v>3920</v>
      </c>
      <c r="F83" s="9">
        <v>10</v>
      </c>
      <c r="G83" s="10"/>
      <c r="H83" s="56">
        <v>2</v>
      </c>
      <c r="I83" s="9" t="s">
        <v>3772</v>
      </c>
    </row>
    <row r="84" spans="1:9" x14ac:dyDescent="0.25">
      <c r="A84" t="s">
        <v>3921</v>
      </c>
      <c r="B84" s="76" t="s">
        <v>3922</v>
      </c>
      <c r="C84" s="272">
        <v>12.9</v>
      </c>
      <c r="D84" s="55"/>
      <c r="E84" s="6" t="s">
        <v>3923</v>
      </c>
      <c r="F84" s="9">
        <v>10</v>
      </c>
      <c r="G84" s="10"/>
      <c r="H84" s="56">
        <v>3</v>
      </c>
      <c r="I84" s="9" t="s">
        <v>889</v>
      </c>
    </row>
    <row r="85" spans="1:12" x14ac:dyDescent="0.25">
      <c r="A85" t="s">
        <v>2393</v>
      </c>
      <c r="B85" s="76" t="s">
        <v>3924</v>
      </c>
      <c r="C85" s="272"/>
      <c r="D85" s="55"/>
      <c r="E85" s="6" t="s">
        <v>3925</v>
      </c>
      <c r="F85" s="9">
        <v>10</v>
      </c>
      <c r="G85" s="10"/>
      <c r="H85" s="56">
        <v>3</v>
      </c>
      <c r="I85" s="9">
        <v>39331</v>
      </c>
      <c r="J85" t="s">
        <v>295</v>
      </c>
      <c r="K85" t="s">
        <v>3926</v>
      </c>
      <c r="L85" t="s">
        <v>3699</v>
      </c>
    </row>
    <row r="86" spans="1:10" x14ac:dyDescent="0.25">
      <c r="A86" t="s">
        <v>3927</v>
      </c>
      <c r="B86" s="76" t="s">
        <v>3928</v>
      </c>
      <c r="C86" s="272"/>
      <c r="D86" s="55"/>
      <c r="E86" s="6" t="s">
        <v>3929</v>
      </c>
      <c r="F86" s="9">
        <v>10</v>
      </c>
      <c r="G86" s="10"/>
      <c r="H86" s="56">
        <v>4</v>
      </c>
      <c r="I86" s="9" t="s">
        <v>569</v>
      </c>
      <c r="J86" t="s">
        <v>295</v>
      </c>
    </row>
    <row r="87" spans="1:15" x14ac:dyDescent="0.25">
      <c r="A87" t="s">
        <v>2393</v>
      </c>
      <c r="B87" s="76" t="s">
        <v>3179</v>
      </c>
      <c r="C87" s="272"/>
      <c r="D87" s="55"/>
      <c r="E87" s="6" t="s">
        <v>3930</v>
      </c>
      <c r="F87" s="9">
        <v>5</v>
      </c>
      <c r="G87" s="32"/>
      <c r="H87" s="56">
        <v>3</v>
      </c>
      <c r="I87" s="9" t="s">
        <v>3840</v>
      </c>
      <c r="J87" t="s">
        <v>1212</v>
      </c>
      <c r="K87" t="s">
        <v>900</v>
      </c>
      <c r="L87" t="s">
        <v>1289</v>
      </c>
      <c r="M87" t="s">
        <v>140</v>
      </c>
      <c r="N87" t="s">
        <v>1260</v>
      </c>
      <c r="O87" t="s">
        <v>1771</v>
      </c>
    </row>
    <row r="88" spans="1:11" x14ac:dyDescent="0.25">
      <c r="A88" t="s">
        <v>3931</v>
      </c>
      <c r="B88" s="76" t="s">
        <v>3932</v>
      </c>
      <c r="C88" s="272"/>
      <c r="D88" s="55"/>
      <c r="E88" s="6" t="s">
        <v>3933</v>
      </c>
      <c r="F88" s="9">
        <v>5</v>
      </c>
      <c r="G88" s="10"/>
      <c r="H88" s="56">
        <v>4</v>
      </c>
      <c r="I88" s="9" t="s">
        <v>3934</v>
      </c>
      <c r="J88" t="s">
        <v>734</v>
      </c>
      <c r="K88" t="s">
        <v>1555</v>
      </c>
    </row>
    <row r="89" spans="1:19" s="14" customFormat="1" x14ac:dyDescent="0.25">
      <c r="A89" s="4" t="s">
        <v>3935</v>
      </c>
      <c r="B89" s="26" t="s">
        <v>3182</v>
      </c>
      <c r="C89" s="56"/>
      <c r="D89" s="26"/>
      <c r="E89" s="26" t="s">
        <v>3183</v>
      </c>
      <c r="F89" s="56">
        <v>20</v>
      </c>
      <c r="G89" s="26"/>
      <c r="H89" s="56">
        <v>0</v>
      </c>
      <c r="I89" s="56" t="s">
        <v>3746</v>
      </c>
      <c r="J89" s="4" t="s">
        <v>1071</v>
      </c>
      <c r="K89" s="4" t="s">
        <v>200</v>
      </c>
      <c r="L89" s="4" t="s">
        <v>3936</v>
      </c>
      <c r="M89" s="4" t="s">
        <v>625</v>
      </c>
      <c r="N89" s="4" t="s">
        <v>3937</v>
      </c>
      <c r="O89" s="4" t="s">
        <v>275</v>
      </c>
      <c r="P89" s="4" t="s">
        <v>3938</v>
      </c>
      <c r="Q89" s="4" t="s">
        <v>3798</v>
      </c>
      <c r="R89" s="135" t="s">
        <v>292</v>
      </c>
      <c r="S89" s="4" t="s">
        <v>465</v>
      </c>
    </row>
    <row r="90" spans="1:16" x14ac:dyDescent="0.25">
      <c r="A90" t="s">
        <v>3939</v>
      </c>
      <c r="B90" s="6" t="s">
        <v>3184</v>
      </c>
      <c r="C90" s="9"/>
      <c r="D90" s="6"/>
      <c r="E90" s="6" t="s">
        <v>3185</v>
      </c>
      <c r="F90" s="9">
        <v>20</v>
      </c>
      <c r="G90" s="6"/>
      <c r="H90" s="56">
        <v>22</v>
      </c>
      <c r="I90" s="9" t="s">
        <v>3940</v>
      </c>
      <c r="J90" t="s">
        <v>909</v>
      </c>
      <c r="K90" t="s">
        <v>3941</v>
      </c>
      <c r="L90" t="s">
        <v>107</v>
      </c>
      <c r="M90" t="s">
        <v>1289</v>
      </c>
      <c r="N90" t="s">
        <v>3936</v>
      </c>
      <c r="O90" t="s">
        <v>1833</v>
      </c>
      <c r="P90" t="s">
        <v>2300</v>
      </c>
    </row>
    <row r="91" spans="1:15" x14ac:dyDescent="0.25">
      <c r="A91" t="s">
        <v>3942</v>
      </c>
      <c r="B91" s="6" t="s">
        <v>3186</v>
      </c>
      <c r="C91" s="9"/>
      <c r="D91" s="6"/>
      <c r="E91" s="6" t="s">
        <v>3187</v>
      </c>
      <c r="F91" s="9">
        <v>20</v>
      </c>
      <c r="G91" s="26"/>
      <c r="H91" s="56">
        <v>9</v>
      </c>
      <c r="I91" s="9" t="s">
        <v>3943</v>
      </c>
      <c r="J91" t="s">
        <v>3944</v>
      </c>
      <c r="K91" t="s">
        <v>3945</v>
      </c>
      <c r="L91" t="s">
        <v>3946</v>
      </c>
      <c r="M91" t="s">
        <v>3936</v>
      </c>
      <c r="N91" t="s">
        <v>133</v>
      </c>
      <c r="O91" t="s">
        <v>224</v>
      </c>
    </row>
    <row r="92" spans="1:12" x14ac:dyDescent="0.25">
      <c r="A92" t="s">
        <v>3947</v>
      </c>
      <c r="B92" s="6" t="s">
        <v>3188</v>
      </c>
      <c r="C92" s="9"/>
      <c r="D92" s="6"/>
      <c r="E92" s="6" t="s">
        <v>3189</v>
      </c>
      <c r="F92" s="9">
        <v>20</v>
      </c>
      <c r="G92" s="26"/>
      <c r="H92" s="56">
        <v>3</v>
      </c>
      <c r="I92" s="9" t="s">
        <v>3948</v>
      </c>
      <c r="J92" t="s">
        <v>106</v>
      </c>
      <c r="K92" t="s">
        <v>214</v>
      </c>
      <c r="L92" t="s">
        <v>3949</v>
      </c>
    </row>
    <row r="93" spans="1:12" x14ac:dyDescent="0.25">
      <c r="A93" t="s">
        <v>3950</v>
      </c>
      <c r="B93" s="6" t="s">
        <v>3190</v>
      </c>
      <c r="C93" s="9"/>
      <c r="D93" s="6"/>
      <c r="E93" s="6" t="s">
        <v>3191</v>
      </c>
      <c r="F93" s="9">
        <v>20</v>
      </c>
      <c r="G93" s="26"/>
      <c r="H93" s="9">
        <v>3</v>
      </c>
      <c r="I93" s="9" t="s">
        <v>3951</v>
      </c>
      <c r="J93" t="s">
        <v>3952</v>
      </c>
      <c r="K93" t="s">
        <v>107</v>
      </c>
      <c r="L93" t="s">
        <v>2115</v>
      </c>
    </row>
    <row r="94" spans="1:12" x14ac:dyDescent="0.25">
      <c r="A94" t="s">
        <v>3953</v>
      </c>
      <c r="B94" s="6" t="s">
        <v>3192</v>
      </c>
      <c r="C94" s="9"/>
      <c r="D94" s="6"/>
      <c r="E94" s="6" t="s">
        <v>3193</v>
      </c>
      <c r="F94" s="9">
        <v>20</v>
      </c>
      <c r="G94" s="26"/>
      <c r="H94" s="100">
        <v>0</v>
      </c>
      <c r="I94" s="9" t="s">
        <v>3951</v>
      </c>
      <c r="J94" t="s">
        <v>2115</v>
      </c>
      <c r="K94" t="s">
        <v>25</v>
      </c>
      <c r="L94" t="s">
        <v>1323</v>
      </c>
    </row>
    <row r="95" spans="1:13" x14ac:dyDescent="0.25">
      <c r="A95" t="s">
        <v>3954</v>
      </c>
      <c r="B95" s="6" t="s">
        <v>3194</v>
      </c>
      <c r="C95" s="9"/>
      <c r="D95" s="6"/>
      <c r="E95" s="6" t="s">
        <v>3195</v>
      </c>
      <c r="F95" s="9">
        <v>8</v>
      </c>
      <c r="G95" s="6"/>
      <c r="H95" s="9">
        <v>19</v>
      </c>
      <c r="I95" s="9" t="s">
        <v>3955</v>
      </c>
      <c r="J95" t="s">
        <v>228</v>
      </c>
      <c r="K95" t="s">
        <v>3956</v>
      </c>
      <c r="L95" t="s">
        <v>3957</v>
      </c>
      <c r="M95" t="s">
        <v>2576</v>
      </c>
    </row>
    <row r="96" spans="1:18" x14ac:dyDescent="0.25">
      <c r="A96" t="s">
        <v>2393</v>
      </c>
      <c r="B96" s="6" t="s">
        <v>3197</v>
      </c>
      <c r="C96" s="9"/>
      <c r="D96" s="6"/>
      <c r="E96" s="6" t="s">
        <v>3958</v>
      </c>
      <c r="F96" s="9">
        <v>8</v>
      </c>
      <c r="G96" s="32" t="s">
        <v>3745</v>
      </c>
      <c r="H96" s="56">
        <v>8</v>
      </c>
      <c r="I96" s="9" t="s">
        <v>3955</v>
      </c>
      <c r="J96" t="s">
        <v>3959</v>
      </c>
      <c r="K96" t="s">
        <v>777</v>
      </c>
      <c r="L96" t="s">
        <v>537</v>
      </c>
      <c r="M96" t="s">
        <v>206</v>
      </c>
      <c r="N96" t="s">
        <v>1003</v>
      </c>
      <c r="O96" t="s">
        <v>2096</v>
      </c>
      <c r="P96" t="s">
        <v>502</v>
      </c>
      <c r="Q96" t="s">
        <v>1033</v>
      </c>
      <c r="R96" t="s">
        <v>667</v>
      </c>
    </row>
    <row r="97" spans="1:11" x14ac:dyDescent="0.25">
      <c r="A97" t="s">
        <v>3960</v>
      </c>
      <c r="B97" s="6" t="s">
        <v>3199</v>
      </c>
      <c r="C97" s="9">
        <v>5.2</v>
      </c>
      <c r="D97" s="6"/>
      <c r="E97" s="6" t="s">
        <v>3200</v>
      </c>
      <c r="F97" s="9">
        <v>5</v>
      </c>
      <c r="G97" s="6"/>
      <c r="H97" s="56">
        <v>5</v>
      </c>
      <c r="I97" s="9" t="s">
        <v>1418</v>
      </c>
      <c r="J97" t="s">
        <v>666</v>
      </c>
      <c r="K97" t="s">
        <v>1512</v>
      </c>
    </row>
    <row r="98" spans="1:17" x14ac:dyDescent="0.25">
      <c r="A98" t="s">
        <v>3961</v>
      </c>
      <c r="B98" s="6" t="s">
        <v>3202</v>
      </c>
      <c r="C98" s="9">
        <v>5.2</v>
      </c>
      <c r="D98" s="6"/>
      <c r="E98" s="6" t="s">
        <v>3203</v>
      </c>
      <c r="F98" s="9">
        <v>5</v>
      </c>
      <c r="G98" s="6"/>
      <c r="H98" s="56">
        <v>16</v>
      </c>
      <c r="I98" s="9" t="s">
        <v>3955</v>
      </c>
      <c r="J98" t="s">
        <v>1824</v>
      </c>
      <c r="K98" t="s">
        <v>3962</v>
      </c>
      <c r="L98" t="s">
        <v>705</v>
      </c>
      <c r="M98" t="s">
        <v>141</v>
      </c>
      <c r="N98" t="s">
        <v>1337</v>
      </c>
      <c r="O98" t="s">
        <v>1771</v>
      </c>
      <c r="P98" s="209" t="s">
        <v>844</v>
      </c>
      <c r="Q98" t="s">
        <v>735</v>
      </c>
    </row>
    <row r="99" spans="1:11" x14ac:dyDescent="0.25">
      <c r="A99" t="s">
        <v>638</v>
      </c>
      <c r="B99" s="6" t="s">
        <v>3963</v>
      </c>
      <c r="C99" s="9"/>
      <c r="D99" s="6"/>
      <c r="E99" s="6" t="s">
        <v>3964</v>
      </c>
      <c r="F99" s="9">
        <v>50</v>
      </c>
      <c r="G99" s="6"/>
      <c r="H99" s="56">
        <v>3</v>
      </c>
      <c r="I99" s="9" t="s">
        <v>3965</v>
      </c>
      <c r="J99" t="s">
        <v>214</v>
      </c>
      <c r="K99" t="s">
        <v>2368</v>
      </c>
    </row>
    <row r="100" spans="1:11" x14ac:dyDescent="0.25">
      <c r="A100" t="s">
        <v>638</v>
      </c>
      <c r="B100" s="6" t="s">
        <v>3966</v>
      </c>
      <c r="C100" s="9"/>
      <c r="D100" s="6"/>
      <c r="E100" s="6" t="s">
        <v>3967</v>
      </c>
      <c r="F100" s="9">
        <v>50</v>
      </c>
      <c r="G100" s="6"/>
      <c r="H100" s="100">
        <v>0</v>
      </c>
      <c r="I100" s="9" t="s">
        <v>3968</v>
      </c>
      <c r="J100" t="s">
        <v>48</v>
      </c>
      <c r="K100" t="s">
        <v>212</v>
      </c>
    </row>
    <row r="101" spans="2:11" x14ac:dyDescent="0.25">
      <c r="B101" s="6" t="s">
        <v>3969</v>
      </c>
      <c r="C101" s="9"/>
      <c r="D101" s="6"/>
      <c r="E101" s="6" t="s">
        <v>3970</v>
      </c>
      <c r="F101" s="9">
        <v>50</v>
      </c>
      <c r="G101" s="6"/>
      <c r="H101" s="100">
        <v>0</v>
      </c>
      <c r="I101" s="9" t="s">
        <v>3971</v>
      </c>
      <c r="J101" t="s">
        <v>1717</v>
      </c>
      <c r="K101" t="s">
        <v>3972</v>
      </c>
    </row>
    <row r="102" spans="1:10" x14ac:dyDescent="0.25">
      <c r="A102" t="s">
        <v>638</v>
      </c>
      <c r="B102" s="6" t="s">
        <v>3973</v>
      </c>
      <c r="C102" s="9"/>
      <c r="D102" s="6"/>
      <c r="E102" s="6" t="s">
        <v>3974</v>
      </c>
      <c r="F102" s="9">
        <v>20</v>
      </c>
      <c r="G102" s="6"/>
      <c r="H102" s="56">
        <v>6.5</v>
      </c>
      <c r="I102" s="9" t="s">
        <v>3965</v>
      </c>
      <c r="J102" t="s">
        <v>3975</v>
      </c>
    </row>
    <row r="103" spans="1:14" x14ac:dyDescent="0.25">
      <c r="A103" t="s">
        <v>638</v>
      </c>
      <c r="B103" s="6" t="s">
        <v>3976</v>
      </c>
      <c r="C103" s="9"/>
      <c r="D103" s="6"/>
      <c r="E103" s="26" t="s">
        <v>3977</v>
      </c>
      <c r="F103" s="56">
        <v>20</v>
      </c>
      <c r="G103" s="26"/>
      <c r="H103" s="56">
        <v>4.5</v>
      </c>
      <c r="I103" s="9" t="s">
        <v>3965</v>
      </c>
      <c r="J103" t="s">
        <v>804</v>
      </c>
      <c r="K103" t="s">
        <v>453</v>
      </c>
      <c r="L103" t="s">
        <v>425</v>
      </c>
      <c r="M103" t="s">
        <v>3975</v>
      </c>
      <c r="N103" t="s">
        <v>193</v>
      </c>
    </row>
    <row r="104" spans="1:13" x14ac:dyDescent="0.25">
      <c r="A104" t="s">
        <v>3978</v>
      </c>
      <c r="B104" s="6" t="s">
        <v>3979</v>
      </c>
      <c r="C104" s="9"/>
      <c r="D104" s="6"/>
      <c r="E104" s="6" t="s">
        <v>3980</v>
      </c>
      <c r="F104" s="9"/>
      <c r="G104" s="6"/>
      <c r="H104" s="9">
        <v>15</v>
      </c>
      <c r="I104" s="9" t="s">
        <v>3902</v>
      </c>
      <c r="J104" t="s">
        <v>160</v>
      </c>
      <c r="K104" t="s">
        <v>1304</v>
      </c>
      <c r="L104" t="s">
        <v>1205</v>
      </c>
      <c r="M104" t="s">
        <v>158</v>
      </c>
    </row>
    <row r="105" spans="2:9" x14ac:dyDescent="0.25">
      <c r="B105" s="6"/>
      <c r="C105" s="9"/>
      <c r="D105" s="6"/>
      <c r="E105" s="6"/>
      <c r="F105" s="9"/>
      <c r="G105" s="6"/>
      <c r="H105" s="9"/>
      <c r="I105" s="9"/>
    </row>
    <row r="106" spans="2:9" x14ac:dyDescent="0.25">
      <c r="B106" s="6"/>
      <c r="C106" s="9"/>
      <c r="D106" s="6"/>
      <c r="E106" s="6"/>
      <c r="F106" s="9"/>
      <c r="G106" s="6"/>
      <c r="H106" s="9"/>
      <c r="I106" s="9"/>
    </row>
    <row r="107" spans="2:9" x14ac:dyDescent="0.25">
      <c r="B107" s="6"/>
      <c r="C107" s="9"/>
      <c r="D107" s="6"/>
      <c r="E107" s="6"/>
      <c r="F107" s="9"/>
      <c r="G107" s="6"/>
      <c r="H107" s="9"/>
      <c r="I107" s="9"/>
    </row>
    <row r="108" spans="2:9" x14ac:dyDescent="0.25">
      <c r="B108" s="6"/>
      <c r="C108" s="9"/>
      <c r="D108" s="6"/>
      <c r="E108" s="6"/>
      <c r="F108" s="9"/>
      <c r="G108" s="6"/>
      <c r="H108" s="9"/>
      <c r="I108" s="9"/>
    </row>
    <row r="109" spans="2:9" x14ac:dyDescent="0.25">
      <c r="B109" s="6"/>
      <c r="C109" s="9"/>
      <c r="D109" s="6"/>
      <c r="E109" s="6"/>
      <c r="F109" s="9"/>
      <c r="G109" s="6"/>
      <c r="H109" s="9"/>
      <c r="I109" s="9"/>
    </row>
    <row r="110" spans="2:9" x14ac:dyDescent="0.25">
      <c r="B110" s="6"/>
      <c r="C110" s="9"/>
      <c r="D110" s="6"/>
      <c r="E110" s="6"/>
      <c r="F110" s="9"/>
      <c r="G110" s="6"/>
      <c r="H110" s="9"/>
      <c r="I110" s="9"/>
    </row>
    <row r="111" spans="2:9" x14ac:dyDescent="0.25">
      <c r="B111" s="6"/>
      <c r="C111" s="9"/>
      <c r="D111" s="6"/>
      <c r="E111" s="6"/>
      <c r="F111" s="9"/>
      <c r="G111" s="6"/>
      <c r="H111" s="9"/>
      <c r="I111" s="9"/>
    </row>
    <row r="112" spans="2:9" x14ac:dyDescent="0.25">
      <c r="B112" s="6"/>
      <c r="C112" s="9"/>
      <c r="D112" s="6"/>
      <c r="E112" s="6"/>
      <c r="F112" s="9"/>
      <c r="G112" s="6"/>
      <c r="H112" s="9"/>
      <c r="I112" s="9"/>
    </row>
    <row r="113" spans="2:9" x14ac:dyDescent="0.25">
      <c r="B113" s="6"/>
      <c r="C113" s="9"/>
      <c r="D113" s="6"/>
      <c r="E113" s="6"/>
      <c r="F113" s="9"/>
      <c r="G113" s="6"/>
      <c r="H113" s="9"/>
      <c r="I113" s="9"/>
    </row>
    <row r="114" spans="2:9" x14ac:dyDescent="0.25">
      <c r="B114" s="6"/>
      <c r="C114" s="9"/>
      <c r="D114" s="6"/>
      <c r="E114" s="6"/>
      <c r="F114" s="9"/>
      <c r="G114" s="6"/>
      <c r="H114" s="9"/>
      <c r="I114" s="9"/>
    </row>
    <row r="115" spans="2:9" x14ac:dyDescent="0.25">
      <c r="B115" s="6"/>
      <c r="C115" s="9"/>
      <c r="D115" s="6"/>
      <c r="E115" s="6"/>
      <c r="F115" s="9"/>
      <c r="G115" s="6"/>
      <c r="H115" s="9"/>
      <c r="I115" s="9"/>
    </row>
    <row r="116" spans="2:9" x14ac:dyDescent="0.25">
      <c r="B116" s="6"/>
      <c r="C116" s="9"/>
      <c r="D116" s="6"/>
      <c r="E116" s="6"/>
      <c r="F116" s="9"/>
      <c r="G116" s="6"/>
      <c r="H116" s="9"/>
      <c r="I116" s="9"/>
    </row>
  </sheetData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59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84"/>
  <sheetViews>
    <sheetView workbookViewId="0" zoomScale="100" zoomScaleNormal="100">
      <selection activeCell="G27" sqref="G27"/>
    </sheetView>
  </sheetViews>
  <sheetFormatPr defaultRowHeight="15" outlineLevelRow="0" outlineLevelCol="0" x14ac:dyDescent="0" defaultColWidth="9.42578125"/>
  <cols>
    <col min="4" max="4" width="35.5703125" customWidth="1"/>
    <col min="5" max="5" width="9.42578125" style="208" customWidth="1"/>
    <col min="6" max="6" width="29.42578125" customWidth="1"/>
    <col min="7" max="9" width="9.42578125" style="208" customWidth="1"/>
    <col min="10" max="10" width="23.42578125" customWidth="1"/>
    <col min="11" max="12" width="10.5703125" customWidth="1"/>
  </cols>
  <sheetData>
    <row r="2" spans="1:13" x14ac:dyDescent="0.25">
      <c r="A2" s="6" t="s">
        <v>3018</v>
      </c>
      <c r="B2" s="6" t="s">
        <v>3019</v>
      </c>
      <c r="C2" s="6" t="s">
        <v>3019</v>
      </c>
      <c r="D2" s="6" t="s">
        <v>3020</v>
      </c>
      <c r="E2" s="50">
        <v>26</v>
      </c>
      <c r="F2" s="26"/>
      <c r="G2" s="9">
        <v>19</v>
      </c>
      <c r="H2" s="56">
        <f>G2-I2</f>
        <v>9</v>
      </c>
      <c r="I2" s="9">
        <v>10</v>
      </c>
      <c r="J2" s="6" t="s">
        <v>3021</v>
      </c>
      <c r="K2" t="s">
        <v>3022</v>
      </c>
      <c r="L2" t="s">
        <v>3023</v>
      </c>
      <c r="M2" t="s">
        <v>3024</v>
      </c>
    </row>
    <row r="3" spans="1:12" x14ac:dyDescent="0.25">
      <c r="A3" s="6" t="s">
        <v>3025</v>
      </c>
      <c r="B3" s="6" t="s">
        <v>3019</v>
      </c>
      <c r="C3" s="6" t="s">
        <v>3019</v>
      </c>
      <c r="D3" s="6" t="s">
        <v>3026</v>
      </c>
      <c r="E3" s="9">
        <v>26</v>
      </c>
      <c r="F3" s="26"/>
      <c r="G3" s="56">
        <v>15</v>
      </c>
      <c r="H3" s="56">
        <f>G3-I3</f>
        <v>5</v>
      </c>
      <c r="I3" s="56">
        <v>10</v>
      </c>
      <c r="J3" s="6" t="s">
        <v>3021</v>
      </c>
      <c r="K3" t="s">
        <v>3027</v>
      </c>
      <c r="L3" t="s">
        <v>2161</v>
      </c>
    </row>
    <row r="4" spans="1:11" x14ac:dyDescent="0.25">
      <c r="A4" s="26" t="s">
        <v>3028</v>
      </c>
      <c r="B4" s="6" t="s">
        <v>3019</v>
      </c>
      <c r="C4" s="6" t="s">
        <v>3019</v>
      </c>
      <c r="D4" s="26" t="s">
        <v>3029</v>
      </c>
      <c r="E4" s="9">
        <v>26</v>
      </c>
      <c r="F4" s="26"/>
      <c r="G4" s="9">
        <v>21</v>
      </c>
      <c r="H4" s="56">
        <f>G4-I4</f>
        <v>11</v>
      </c>
      <c r="I4" s="9">
        <v>10</v>
      </c>
      <c r="J4" s="6" t="s">
        <v>3021</v>
      </c>
      <c r="K4" t="s">
        <v>3030</v>
      </c>
    </row>
    <row r="5" spans="1:12" x14ac:dyDescent="0.25">
      <c r="A5" s="6" t="s">
        <v>3031</v>
      </c>
      <c r="B5" s="6" t="s">
        <v>3019</v>
      </c>
      <c r="C5" s="6" t="s">
        <v>3019</v>
      </c>
      <c r="D5" s="26" t="s">
        <v>3032</v>
      </c>
      <c r="E5" s="9">
        <v>26</v>
      </c>
      <c r="F5" s="26"/>
      <c r="G5" s="9">
        <v>22</v>
      </c>
      <c r="H5" s="56">
        <f>G5-I5</f>
        <v>12</v>
      </c>
      <c r="I5" s="9">
        <v>10</v>
      </c>
      <c r="J5" s="6" t="s">
        <v>3021</v>
      </c>
      <c r="K5" t="s">
        <v>1841</v>
      </c>
      <c r="L5" t="s">
        <v>877</v>
      </c>
    </row>
    <row r="6" spans="1:12" x14ac:dyDescent="0.25">
      <c r="A6" s="6" t="s">
        <v>3033</v>
      </c>
      <c r="B6" s="6"/>
      <c r="C6" s="6"/>
      <c r="D6" s="26" t="s">
        <v>3034</v>
      </c>
      <c r="E6" s="9">
        <v>26</v>
      </c>
      <c r="F6" s="26"/>
      <c r="G6" s="100">
        <v>0</v>
      </c>
      <c r="H6" s="100"/>
      <c r="I6" s="100"/>
      <c r="J6" s="6" t="s">
        <v>3035</v>
      </c>
      <c r="K6" t="s">
        <v>3036</v>
      </c>
      <c r="L6" t="s">
        <v>2161</v>
      </c>
    </row>
    <row r="7" spans="1:11" x14ac:dyDescent="0.25">
      <c r="A7" s="6" t="s">
        <v>3037</v>
      </c>
      <c r="B7" s="6"/>
      <c r="C7" s="6"/>
      <c r="D7" s="26" t="s">
        <v>3038</v>
      </c>
      <c r="E7" s="9">
        <v>26</v>
      </c>
      <c r="F7" s="26"/>
      <c r="G7" s="100">
        <v>0</v>
      </c>
      <c r="H7" s="100"/>
      <c r="I7" s="100"/>
      <c r="J7" s="6" t="s">
        <v>3039</v>
      </c>
      <c r="K7" t="s">
        <v>2158</v>
      </c>
    </row>
    <row r="8" spans="1:11" x14ac:dyDescent="0.25">
      <c r="A8" s="6" t="s">
        <v>3040</v>
      </c>
      <c r="B8" s="6"/>
      <c r="C8" s="6"/>
      <c r="D8" s="26" t="s">
        <v>3041</v>
      </c>
      <c r="E8" s="9">
        <v>26</v>
      </c>
      <c r="F8" s="26"/>
      <c r="G8" s="100">
        <v>0</v>
      </c>
      <c r="H8" s="100"/>
      <c r="I8" s="100"/>
      <c r="J8" s="6" t="s">
        <v>3042</v>
      </c>
      <c r="K8" t="s">
        <v>3043</v>
      </c>
    </row>
    <row r="9" spans="1:11" x14ac:dyDescent="0.25">
      <c r="A9" s="6" t="s">
        <v>3044</v>
      </c>
      <c r="B9" s="6" t="s">
        <v>29</v>
      </c>
      <c r="C9" s="6" t="s">
        <v>3019</v>
      </c>
      <c r="D9" s="26" t="s">
        <v>3045</v>
      </c>
      <c r="E9" s="9">
        <v>26</v>
      </c>
      <c r="F9" s="26"/>
      <c r="G9" s="56">
        <v>3</v>
      </c>
      <c r="H9" s="56"/>
      <c r="I9" s="56"/>
      <c r="J9" s="6" t="s">
        <v>3046</v>
      </c>
      <c r="K9" t="s">
        <v>3047</v>
      </c>
    </row>
    <row r="10" spans="1:11" x14ac:dyDescent="0.25">
      <c r="A10" s="6" t="s">
        <v>3048</v>
      </c>
      <c r="B10" s="6" t="s">
        <v>29</v>
      </c>
      <c r="C10" s="6" t="s">
        <v>3019</v>
      </c>
      <c r="D10" s="26" t="s">
        <v>3049</v>
      </c>
      <c r="E10" s="9">
        <v>26</v>
      </c>
      <c r="F10" s="26"/>
      <c r="G10" s="100">
        <v>0</v>
      </c>
      <c r="H10" s="100"/>
      <c r="I10" s="100"/>
      <c r="J10" s="6" t="s">
        <v>3050</v>
      </c>
      <c r="K10" t="s">
        <v>3036</v>
      </c>
    </row>
    <row r="11" spans="1:13" x14ac:dyDescent="0.25">
      <c r="A11" s="6" t="s">
        <v>3051</v>
      </c>
      <c r="B11" s="6" t="s">
        <v>3019</v>
      </c>
      <c r="C11" s="6" t="s">
        <v>3019</v>
      </c>
      <c r="D11" s="26" t="s">
        <v>3052</v>
      </c>
      <c r="E11" s="9">
        <v>26</v>
      </c>
      <c r="F11" s="26"/>
      <c r="G11" s="9">
        <v>17</v>
      </c>
      <c r="H11" s="56">
        <f>G11-I11</f>
        <v>12</v>
      </c>
      <c r="I11" s="9">
        <v>5</v>
      </c>
      <c r="J11" s="6" t="s">
        <v>3053</v>
      </c>
      <c r="K11" t="s">
        <v>3054</v>
      </c>
      <c r="M11" t="s">
        <v>3024</v>
      </c>
    </row>
    <row r="12" spans="1:10" x14ac:dyDescent="0.25">
      <c r="A12" s="6" t="s">
        <v>3055</v>
      </c>
      <c r="B12" s="6" t="s">
        <v>3019</v>
      </c>
      <c r="C12" s="6" t="s">
        <v>3019</v>
      </c>
      <c r="D12" s="26" t="s">
        <v>3056</v>
      </c>
      <c r="E12" s="9">
        <v>6</v>
      </c>
      <c r="F12" s="26"/>
      <c r="G12" s="9">
        <v>24</v>
      </c>
      <c r="H12" s="56">
        <f>G12-I12</f>
        <v>0</v>
      </c>
      <c r="I12" s="9">
        <v>24</v>
      </c>
      <c r="J12" s="6" t="s">
        <v>3057</v>
      </c>
    </row>
    <row r="13" spans="1:10" x14ac:dyDescent="0.25">
      <c r="A13" s="6" t="s">
        <v>3058</v>
      </c>
      <c r="B13" s="6" t="s">
        <v>3019</v>
      </c>
      <c r="C13" s="6" t="s">
        <v>3019</v>
      </c>
      <c r="D13" s="26" t="s">
        <v>3059</v>
      </c>
      <c r="E13" s="9">
        <v>6</v>
      </c>
      <c r="F13" s="26"/>
      <c r="G13" s="9">
        <v>24</v>
      </c>
      <c r="H13" s="56">
        <f>G13-I13</f>
        <v>0</v>
      </c>
      <c r="I13" s="9">
        <v>24</v>
      </c>
      <c r="J13" s="6" t="s">
        <v>3057</v>
      </c>
    </row>
    <row r="14" spans="1:11" x14ac:dyDescent="0.25">
      <c r="A14" s="6" t="s">
        <v>3060</v>
      </c>
      <c r="B14" s="6" t="s">
        <v>5</v>
      </c>
      <c r="C14" s="6" t="s">
        <v>3019</v>
      </c>
      <c r="D14" s="6" t="s">
        <v>3061</v>
      </c>
      <c r="E14" s="9">
        <v>26</v>
      </c>
      <c r="F14" s="26"/>
      <c r="G14" s="100">
        <v>0</v>
      </c>
      <c r="H14" s="100"/>
      <c r="I14" s="100"/>
      <c r="J14" s="6" t="s">
        <v>3062</v>
      </c>
      <c r="K14" t="s">
        <v>1815</v>
      </c>
    </row>
    <row r="15" spans="1:11" x14ac:dyDescent="0.25">
      <c r="A15" s="6" t="s">
        <v>3063</v>
      </c>
      <c r="B15" s="6" t="s">
        <v>5</v>
      </c>
      <c r="C15" s="6" t="s">
        <v>3019</v>
      </c>
      <c r="D15" s="6" t="s">
        <v>3064</v>
      </c>
      <c r="E15" s="9">
        <v>26</v>
      </c>
      <c r="F15" s="26"/>
      <c r="G15" s="100">
        <v>0</v>
      </c>
      <c r="H15" s="100"/>
      <c r="I15" s="100"/>
      <c r="J15" s="6" t="s">
        <v>3065</v>
      </c>
      <c r="K15" t="s">
        <v>3066</v>
      </c>
    </row>
    <row r="16" spans="1:13" x14ac:dyDescent="0.25">
      <c r="A16" s="6" t="s">
        <v>3067</v>
      </c>
      <c r="B16" s="6" t="s">
        <v>5</v>
      </c>
      <c r="C16" s="6" t="s">
        <v>3019</v>
      </c>
      <c r="D16" s="6" t="s">
        <v>3068</v>
      </c>
      <c r="E16" s="9">
        <v>26</v>
      </c>
      <c r="F16" s="26"/>
      <c r="G16" s="100">
        <v>0</v>
      </c>
      <c r="H16" s="100"/>
      <c r="I16" s="100"/>
      <c r="J16" s="6" t="s">
        <v>3069</v>
      </c>
      <c r="M16" t="s">
        <v>3024</v>
      </c>
    </row>
    <row r="17" spans="1:10" x14ac:dyDescent="0.25">
      <c r="A17" s="6" t="s">
        <v>3070</v>
      </c>
      <c r="B17" s="6" t="s">
        <v>5</v>
      </c>
      <c r="C17" s="6" t="s">
        <v>3019</v>
      </c>
      <c r="D17" s="6" t="s">
        <v>3071</v>
      </c>
      <c r="E17" s="9">
        <v>26</v>
      </c>
      <c r="F17" s="26"/>
      <c r="G17" s="100">
        <v>0</v>
      </c>
      <c r="H17" s="100"/>
      <c r="I17" s="100"/>
      <c r="J17" s="6" t="s">
        <v>3072</v>
      </c>
    </row>
    <row r="18" spans="1:13" x14ac:dyDescent="0.25">
      <c r="A18" s="6" t="s">
        <v>3073</v>
      </c>
      <c r="B18" s="6" t="s">
        <v>5</v>
      </c>
      <c r="C18" s="6" t="s">
        <v>3019</v>
      </c>
      <c r="D18" s="6" t="s">
        <v>3074</v>
      </c>
      <c r="E18" s="9">
        <v>10</v>
      </c>
      <c r="F18" s="26"/>
      <c r="G18" s="100">
        <v>0</v>
      </c>
      <c r="H18" s="100"/>
      <c r="I18" s="100"/>
      <c r="J18" s="6" t="s">
        <v>3062</v>
      </c>
      <c r="M18" t="s">
        <v>3024</v>
      </c>
    </row>
    <row r="19" spans="1:10" x14ac:dyDescent="0.25">
      <c r="A19" s="6" t="s">
        <v>3075</v>
      </c>
      <c r="B19" s="6" t="s">
        <v>5</v>
      </c>
      <c r="C19" s="6" t="s">
        <v>3019</v>
      </c>
      <c r="D19" s="6" t="s">
        <v>3076</v>
      </c>
      <c r="E19" s="9">
        <v>26</v>
      </c>
      <c r="F19" s="26"/>
      <c r="G19" s="100">
        <v>0</v>
      </c>
      <c r="H19" s="100"/>
      <c r="I19" s="100"/>
      <c r="J19" s="6" t="s">
        <v>3077</v>
      </c>
    </row>
    <row r="20" spans="1:11" x14ac:dyDescent="0.25">
      <c r="A20" s="6" t="s">
        <v>3078</v>
      </c>
      <c r="B20" s="6" t="s">
        <v>5</v>
      </c>
      <c r="C20" s="6" t="s">
        <v>3019</v>
      </c>
      <c r="D20" s="6" t="s">
        <v>3079</v>
      </c>
      <c r="E20" s="9">
        <v>26</v>
      </c>
      <c r="F20" s="26"/>
      <c r="G20" s="9">
        <v>4</v>
      </c>
      <c r="H20" s="9"/>
      <c r="I20" s="9"/>
      <c r="J20" s="6" t="s">
        <v>3080</v>
      </c>
      <c r="K20" t="s">
        <v>3081</v>
      </c>
    </row>
    <row r="21" spans="1:11" x14ac:dyDescent="0.25">
      <c r="A21" s="6" t="s">
        <v>3082</v>
      </c>
      <c r="B21" s="6" t="s">
        <v>5</v>
      </c>
      <c r="C21" s="6" t="s">
        <v>3083</v>
      </c>
      <c r="D21" s="6" t="s">
        <v>3084</v>
      </c>
      <c r="E21" s="9">
        <v>25</v>
      </c>
      <c r="F21" s="26"/>
      <c r="G21" s="56">
        <v>4</v>
      </c>
      <c r="H21" s="56">
        <f>G21-I21</f>
        <v>2</v>
      </c>
      <c r="I21" s="56">
        <v>2</v>
      </c>
      <c r="J21" s="6" t="s">
        <v>3085</v>
      </c>
      <c r="K21" t="s">
        <v>3086</v>
      </c>
    </row>
    <row r="22" spans="1:11" x14ac:dyDescent="0.25">
      <c r="A22" s="6" t="s">
        <v>3087</v>
      </c>
      <c r="B22" s="6"/>
      <c r="C22" s="6"/>
      <c r="D22" s="6" t="s">
        <v>3088</v>
      </c>
      <c r="E22" s="9">
        <v>25</v>
      </c>
      <c r="F22" s="26"/>
      <c r="G22" s="56">
        <v>4</v>
      </c>
      <c r="H22" s="56">
        <f>G22-I22</f>
        <v>1</v>
      </c>
      <c r="I22" s="56">
        <v>3</v>
      </c>
      <c r="J22" s="6" t="s">
        <v>3089</v>
      </c>
      <c r="K22" t="s">
        <v>3086</v>
      </c>
    </row>
    <row r="23" spans="1:11" x14ac:dyDescent="0.25">
      <c r="A23" s="6" t="s">
        <v>3090</v>
      </c>
      <c r="B23" s="6"/>
      <c r="C23" s="6"/>
      <c r="D23" s="6" t="s">
        <v>3091</v>
      </c>
      <c r="E23" s="9">
        <v>25</v>
      </c>
      <c r="F23" s="26"/>
      <c r="G23" s="56">
        <v>2</v>
      </c>
      <c r="H23" s="56">
        <f>G23-I23</f>
        <v>0</v>
      </c>
      <c r="I23" s="56">
        <v>2</v>
      </c>
      <c r="J23" s="6" t="s">
        <v>3085</v>
      </c>
      <c r="K23" t="s">
        <v>395</v>
      </c>
    </row>
    <row r="24" spans="1:11" x14ac:dyDescent="0.25">
      <c r="A24" s="6" t="s">
        <v>3092</v>
      </c>
      <c r="B24" s="6"/>
      <c r="C24" s="6"/>
      <c r="D24" s="6" t="s">
        <v>3093</v>
      </c>
      <c r="E24" s="9">
        <v>25</v>
      </c>
      <c r="F24" s="26"/>
      <c r="G24" s="56">
        <v>2</v>
      </c>
      <c r="H24" s="56">
        <f>G24-I24</f>
        <v>0</v>
      </c>
      <c r="I24" s="56">
        <v>2</v>
      </c>
      <c r="J24" s="6" t="s">
        <v>3085</v>
      </c>
      <c r="K24" t="s">
        <v>3094</v>
      </c>
    </row>
    <row r="25" spans="1:11" x14ac:dyDescent="0.25">
      <c r="A25" s="6" t="s">
        <v>3095</v>
      </c>
      <c r="B25" s="6"/>
      <c r="C25" s="6"/>
      <c r="D25" s="6" t="s">
        <v>3096</v>
      </c>
      <c r="E25" s="9">
        <v>25</v>
      </c>
      <c r="F25" s="26"/>
      <c r="G25" s="9">
        <v>2</v>
      </c>
      <c r="H25" s="9"/>
      <c r="I25" s="9"/>
      <c r="J25" s="6" t="s">
        <v>3097</v>
      </c>
      <c r="K25" t="s">
        <v>3098</v>
      </c>
    </row>
    <row r="26" spans="1:12" x14ac:dyDescent="0.25">
      <c r="A26" s="6" t="s">
        <v>3099</v>
      </c>
      <c r="B26" s="6"/>
      <c r="C26" s="6"/>
      <c r="D26" s="6" t="s">
        <v>3100</v>
      </c>
      <c r="E26" s="9">
        <v>25</v>
      </c>
      <c r="F26" s="26"/>
      <c r="G26" s="100">
        <v>10</v>
      </c>
      <c r="H26" s="56">
        <f>G26-I26</f>
        <v>0</v>
      </c>
      <c r="I26" s="100">
        <v>10</v>
      </c>
      <c r="J26" s="6" t="s">
        <v>3101</v>
      </c>
      <c r="K26" s="209" t="s">
        <v>3094</v>
      </c>
      <c r="L26" s="209" t="s">
        <v>3102</v>
      </c>
    </row>
    <row r="27" spans="1:11" x14ac:dyDescent="0.25">
      <c r="A27" s="6" t="s">
        <v>3103</v>
      </c>
      <c r="B27" s="6"/>
      <c r="C27" s="6"/>
      <c r="D27" s="6" t="s">
        <v>3104</v>
      </c>
      <c r="E27" s="9">
        <v>25</v>
      </c>
      <c r="F27" s="26"/>
      <c r="G27" s="9">
        <v>10</v>
      </c>
      <c r="H27" s="56">
        <f>G27-I27</f>
        <v>6</v>
      </c>
      <c r="I27" s="9">
        <v>4</v>
      </c>
      <c r="J27" s="6" t="s">
        <v>3105</v>
      </c>
      <c r="K27" t="s">
        <v>1841</v>
      </c>
    </row>
    <row r="28" spans="1:12" x14ac:dyDescent="0.25">
      <c r="A28" s="6" t="s">
        <v>3106</v>
      </c>
      <c r="B28" s="6"/>
      <c r="C28" s="6"/>
      <c r="D28" s="6" t="s">
        <v>3107</v>
      </c>
      <c r="E28" s="9">
        <v>25</v>
      </c>
      <c r="F28" s="26"/>
      <c r="G28" s="9">
        <v>8</v>
      </c>
      <c r="H28" s="56">
        <f>G28-I28</f>
        <v>5</v>
      </c>
      <c r="I28" s="9">
        <v>3</v>
      </c>
      <c r="J28" s="6" t="s">
        <v>3089</v>
      </c>
      <c r="K28" t="s">
        <v>1841</v>
      </c>
      <c r="L28" t="s">
        <v>1108</v>
      </c>
    </row>
    <row r="29" spans="1:10" x14ac:dyDescent="0.25">
      <c r="A29" s="6" t="s">
        <v>3108</v>
      </c>
      <c r="B29" s="6"/>
      <c r="C29" s="6"/>
      <c r="D29" s="6" t="s">
        <v>3109</v>
      </c>
      <c r="E29" s="9">
        <v>25</v>
      </c>
      <c r="F29" s="26"/>
      <c r="G29" s="9">
        <v>2</v>
      </c>
      <c r="H29" s="9"/>
      <c r="I29" s="9"/>
      <c r="J29" s="6" t="s">
        <v>3042</v>
      </c>
    </row>
    <row r="30" spans="1:10" x14ac:dyDescent="0.25">
      <c r="A30" s="6" t="s">
        <v>3063</v>
      </c>
      <c r="B30" s="6"/>
      <c r="C30" s="6"/>
      <c r="D30" s="6" t="s">
        <v>3110</v>
      </c>
      <c r="E30" s="9">
        <v>25</v>
      </c>
      <c r="F30" s="26"/>
      <c r="G30" s="9">
        <v>2</v>
      </c>
      <c r="H30" s="9"/>
      <c r="I30" s="9"/>
      <c r="J30" s="6" t="s">
        <v>3111</v>
      </c>
    </row>
    <row r="31" spans="1:10" x14ac:dyDescent="0.25">
      <c r="A31" s="6" t="s">
        <v>3112</v>
      </c>
      <c r="B31" s="6"/>
      <c r="C31" s="6"/>
      <c r="D31" s="6" t="s">
        <v>3113</v>
      </c>
      <c r="E31" s="9">
        <v>25</v>
      </c>
      <c r="F31" s="26"/>
      <c r="G31" s="9">
        <v>6</v>
      </c>
      <c r="H31" s="9"/>
      <c r="I31" s="9"/>
      <c r="J31" s="6" t="s">
        <v>3114</v>
      </c>
    </row>
    <row r="32" spans="1:13" x14ac:dyDescent="0.25">
      <c r="A32" s="6" t="s">
        <v>3115</v>
      </c>
      <c r="B32" s="6"/>
      <c r="C32" s="6"/>
      <c r="D32" s="6" t="s">
        <v>3116</v>
      </c>
      <c r="E32" s="9">
        <v>25</v>
      </c>
      <c r="F32" s="26"/>
      <c r="G32" s="9">
        <v>17</v>
      </c>
      <c r="H32" s="56">
        <f>G32-I32</f>
        <v>7</v>
      </c>
      <c r="I32" s="9">
        <v>10</v>
      </c>
      <c r="J32" s="6" t="s">
        <v>3101</v>
      </c>
      <c r="M32" t="s">
        <v>3024</v>
      </c>
    </row>
    <row r="33" spans="1:13" x14ac:dyDescent="0.25">
      <c r="A33" s="6" t="s">
        <v>3117</v>
      </c>
      <c r="B33" s="6"/>
      <c r="C33" s="6"/>
      <c r="D33" s="6" t="s">
        <v>3118</v>
      </c>
      <c r="E33" s="9">
        <v>26</v>
      </c>
      <c r="F33" s="26"/>
      <c r="G33" s="56">
        <v>6</v>
      </c>
      <c r="H33" s="56"/>
      <c r="I33" s="56"/>
      <c r="J33" s="6" t="s">
        <v>3119</v>
      </c>
      <c r="K33" t="s">
        <v>2349</v>
      </c>
      <c r="M33" t="s">
        <v>3024</v>
      </c>
    </row>
    <row r="34" spans="1:11" x14ac:dyDescent="0.25">
      <c r="A34" s="6" t="s">
        <v>3120</v>
      </c>
      <c r="B34" s="6"/>
      <c r="C34" s="6"/>
      <c r="D34" s="6" t="s">
        <v>3121</v>
      </c>
      <c r="E34" s="9">
        <v>26</v>
      </c>
      <c r="F34" s="26"/>
      <c r="G34" s="56">
        <v>2</v>
      </c>
      <c r="H34" s="56"/>
      <c r="I34" s="56"/>
      <c r="J34" s="6" t="s">
        <v>3119</v>
      </c>
      <c r="K34" t="s">
        <v>2349</v>
      </c>
    </row>
    <row r="35" spans="1:10" x14ac:dyDescent="0.25">
      <c r="A35" s="6" t="s">
        <v>3122</v>
      </c>
      <c r="B35" s="6"/>
      <c r="C35" s="6"/>
      <c r="D35" s="6" t="s">
        <v>3123</v>
      </c>
      <c r="E35" s="9">
        <v>25</v>
      </c>
      <c r="F35" s="26"/>
      <c r="G35" s="56">
        <v>1</v>
      </c>
      <c r="H35" s="56">
        <f>G35-I35</f>
        <v>0</v>
      </c>
      <c r="I35" s="56">
        <v>1</v>
      </c>
      <c r="J35" s="6" t="s">
        <v>3124</v>
      </c>
    </row>
    <row r="36" spans="1:10" x14ac:dyDescent="0.25">
      <c r="A36" s="6" t="s">
        <v>3125</v>
      </c>
      <c r="B36" s="6"/>
      <c r="C36" s="6"/>
      <c r="D36" s="6" t="s">
        <v>3126</v>
      </c>
      <c r="E36" s="9">
        <v>25</v>
      </c>
      <c r="F36" s="26"/>
      <c r="G36" s="56">
        <v>1</v>
      </c>
      <c r="H36" s="56">
        <f>G36-I36</f>
        <v>0</v>
      </c>
      <c r="I36" s="56">
        <v>1</v>
      </c>
      <c r="J36" s="6" t="s">
        <v>3124</v>
      </c>
    </row>
    <row r="37" spans="1:10" x14ac:dyDescent="0.25">
      <c r="A37" s="6" t="s">
        <v>3055</v>
      </c>
      <c r="B37" s="6"/>
      <c r="C37" s="6"/>
      <c r="D37" s="6" t="s">
        <v>3127</v>
      </c>
      <c r="E37" s="9">
        <v>25</v>
      </c>
      <c r="F37" s="26"/>
      <c r="G37" s="56">
        <v>1</v>
      </c>
      <c r="H37" s="56">
        <f>G37-I37</f>
        <v>0</v>
      </c>
      <c r="I37" s="56">
        <v>1</v>
      </c>
      <c r="J37" s="6" t="s">
        <v>3124</v>
      </c>
    </row>
    <row r="38" spans="1:10" x14ac:dyDescent="0.25">
      <c r="A38" s="6" t="s">
        <v>3128</v>
      </c>
      <c r="B38" s="6"/>
      <c r="C38" s="6"/>
      <c r="D38" s="6" t="s">
        <v>3129</v>
      </c>
      <c r="E38" s="9">
        <v>15</v>
      </c>
      <c r="F38" s="26"/>
      <c r="G38" s="56">
        <v>2</v>
      </c>
      <c r="H38" s="56">
        <f>G38-I38</f>
        <v>0</v>
      </c>
      <c r="I38" s="56">
        <v>2</v>
      </c>
      <c r="J38" s="6" t="s">
        <v>3085</v>
      </c>
    </row>
    <row r="39" spans="1:10" x14ac:dyDescent="0.25">
      <c r="A39" s="6" t="s">
        <v>3130</v>
      </c>
      <c r="B39" s="6"/>
      <c r="C39" s="6"/>
      <c r="D39" s="6" t="s">
        <v>3131</v>
      </c>
      <c r="E39" s="9">
        <v>20</v>
      </c>
      <c r="F39" s="26"/>
      <c r="G39" s="9">
        <v>1</v>
      </c>
      <c r="H39" s="9"/>
      <c r="I39" s="9"/>
      <c r="J39" s="6" t="s">
        <v>3132</v>
      </c>
    </row>
    <row r="40" spans="1:10" x14ac:dyDescent="0.25">
      <c r="A40" s="6" t="s">
        <v>3133</v>
      </c>
      <c r="B40" s="6"/>
      <c r="C40" s="6"/>
      <c r="D40" s="6" t="s">
        <v>3134</v>
      </c>
      <c r="E40" s="9">
        <v>5</v>
      </c>
      <c r="F40" s="26"/>
      <c r="G40" s="9">
        <v>5</v>
      </c>
      <c r="H40" s="56">
        <f>G40-I40</f>
        <v>0</v>
      </c>
      <c r="I40" s="9">
        <v>5</v>
      </c>
      <c r="J40" s="6" t="s">
        <v>3053</v>
      </c>
    </row>
    <row r="41" spans="1:11" x14ac:dyDescent="0.25">
      <c r="A41" s="6" t="s">
        <v>3135</v>
      </c>
      <c r="B41" s="6"/>
      <c r="C41" s="6"/>
      <c r="D41" s="6" t="s">
        <v>3136</v>
      </c>
      <c r="E41" s="9">
        <v>5</v>
      </c>
      <c r="F41" s="26"/>
      <c r="G41" s="56">
        <v>5</v>
      </c>
      <c r="H41" s="56">
        <f>G41-I41</f>
        <v>0</v>
      </c>
      <c r="I41" s="56">
        <v>5</v>
      </c>
      <c r="J41" s="6" t="s">
        <v>3053</v>
      </c>
      <c r="K41" t="s">
        <v>3137</v>
      </c>
    </row>
    <row r="42" spans="1:11" x14ac:dyDescent="0.25">
      <c r="A42" s="6" t="s">
        <v>3138</v>
      </c>
      <c r="B42" s="6"/>
      <c r="C42" s="6"/>
      <c r="D42" s="6" t="s">
        <v>3139</v>
      </c>
      <c r="E42" s="9">
        <v>24</v>
      </c>
      <c r="F42" s="26"/>
      <c r="G42" s="9">
        <v>6</v>
      </c>
      <c r="H42" s="56">
        <f>G42-I42</f>
        <v>3</v>
      </c>
      <c r="I42" s="9">
        <v>3</v>
      </c>
      <c r="J42" s="6" t="s">
        <v>3140</v>
      </c>
      <c r="K42" t="s">
        <v>1108</v>
      </c>
    </row>
    <row r="43" spans="1:10" x14ac:dyDescent="0.25">
      <c r="A43" s="6" t="s">
        <v>3141</v>
      </c>
      <c r="B43" s="6"/>
      <c r="C43" s="6"/>
      <c r="D43" s="6" t="s">
        <v>3139</v>
      </c>
      <c r="E43" s="9">
        <v>10</v>
      </c>
      <c r="F43" s="26"/>
      <c r="G43" s="9">
        <v>1</v>
      </c>
      <c r="H43" s="9"/>
      <c r="I43" s="9"/>
      <c r="J43" s="6" t="s">
        <v>3069</v>
      </c>
    </row>
    <row r="44" spans="1:10" x14ac:dyDescent="0.25">
      <c r="A44" s="6" t="s">
        <v>3142</v>
      </c>
      <c r="B44" s="6"/>
      <c r="C44" s="6"/>
      <c r="D44" s="6" t="s">
        <v>3143</v>
      </c>
      <c r="E44" s="9">
        <v>24</v>
      </c>
      <c r="F44" s="26"/>
      <c r="G44" s="9">
        <v>3</v>
      </c>
      <c r="H44" s="56">
        <f>G44-I44</f>
        <v>0</v>
      </c>
      <c r="I44" s="9">
        <v>3</v>
      </c>
      <c r="J44" s="6" t="s">
        <v>3144</v>
      </c>
    </row>
    <row r="45" spans="1:11" x14ac:dyDescent="0.25">
      <c r="A45" s="76" t="s">
        <v>3145</v>
      </c>
      <c r="B45" s="55"/>
      <c r="C45" s="6"/>
      <c r="D45" s="55" t="s">
        <v>3146</v>
      </c>
      <c r="E45" s="9">
        <v>24</v>
      </c>
      <c r="F45" s="32"/>
      <c r="G45" s="56">
        <v>3</v>
      </c>
      <c r="H45" s="56"/>
      <c r="I45" s="56"/>
      <c r="J45" s="6" t="s">
        <v>3147</v>
      </c>
      <c r="K45" t="s">
        <v>3148</v>
      </c>
    </row>
    <row r="46" spans="1:11" x14ac:dyDescent="0.25">
      <c r="A46" s="76" t="s">
        <v>3149</v>
      </c>
      <c r="B46" s="55" t="s">
        <v>5</v>
      </c>
      <c r="C46" s="6"/>
      <c r="D46" s="55" t="s">
        <v>3150</v>
      </c>
      <c r="E46" s="9">
        <v>24</v>
      </c>
      <c r="F46" s="32"/>
      <c r="G46" s="100">
        <v>0</v>
      </c>
      <c r="H46" s="100"/>
      <c r="I46" s="100"/>
      <c r="J46" s="6" t="s">
        <v>3151</v>
      </c>
      <c r="K46" t="s">
        <v>3148</v>
      </c>
    </row>
    <row r="47" spans="1:10" x14ac:dyDescent="0.25">
      <c r="A47" s="76" t="s">
        <v>3152</v>
      </c>
      <c r="B47" s="55"/>
      <c r="C47" s="6"/>
      <c r="D47" s="55" t="s">
        <v>3153</v>
      </c>
      <c r="E47" s="9">
        <v>24</v>
      </c>
      <c r="F47" s="32"/>
      <c r="G47" s="56">
        <v>3</v>
      </c>
      <c r="H47" s="56"/>
      <c r="I47" s="56"/>
      <c r="J47" s="6" t="s">
        <v>3154</v>
      </c>
    </row>
    <row r="48" spans="1:12" x14ac:dyDescent="0.25">
      <c r="A48" s="76" t="s">
        <v>3155</v>
      </c>
      <c r="B48" s="55" t="s">
        <v>5</v>
      </c>
      <c r="C48" s="6"/>
      <c r="D48" s="55" t="s">
        <v>3156</v>
      </c>
      <c r="E48" s="9">
        <v>24</v>
      </c>
      <c r="F48" s="32"/>
      <c r="G48" s="56">
        <v>5</v>
      </c>
      <c r="H48" s="56">
        <f>G48-I48</f>
        <v>0</v>
      </c>
      <c r="I48" s="56">
        <v>5</v>
      </c>
      <c r="J48" s="6" t="s">
        <v>3157</v>
      </c>
      <c r="K48" t="s">
        <v>3148</v>
      </c>
      <c r="L48" t="s">
        <v>3158</v>
      </c>
    </row>
    <row r="49" spans="1:12" x14ac:dyDescent="0.25">
      <c r="A49" s="76" t="s">
        <v>3159</v>
      </c>
      <c r="B49" s="55" t="s">
        <v>5</v>
      </c>
      <c r="C49" s="6"/>
      <c r="D49" s="55" t="s">
        <v>3160</v>
      </c>
      <c r="E49" s="9">
        <v>24</v>
      </c>
      <c r="F49" s="32"/>
      <c r="G49" s="56">
        <v>7</v>
      </c>
      <c r="H49" s="56">
        <f>G49-I49</f>
        <v>4</v>
      </c>
      <c r="I49" s="56">
        <v>3</v>
      </c>
      <c r="J49" s="6" t="s">
        <v>3089</v>
      </c>
      <c r="K49" t="s">
        <v>3148</v>
      </c>
      <c r="L49" t="s">
        <v>3158</v>
      </c>
    </row>
    <row r="50" spans="1:10" x14ac:dyDescent="0.25">
      <c r="A50" s="76" t="s">
        <v>3161</v>
      </c>
      <c r="B50" s="6" t="s">
        <v>3019</v>
      </c>
      <c r="C50" s="6" t="s">
        <v>3019</v>
      </c>
      <c r="D50" s="6" t="s">
        <v>3162</v>
      </c>
      <c r="E50" s="9">
        <v>4</v>
      </c>
      <c r="F50" s="32"/>
      <c r="G50" s="56">
        <v>5</v>
      </c>
      <c r="H50" s="56">
        <f>G50-I50</f>
        <v>0</v>
      </c>
      <c r="I50" s="56">
        <v>5</v>
      </c>
      <c r="J50" s="6" t="s">
        <v>3157</v>
      </c>
    </row>
    <row r="51" spans="1:10" x14ac:dyDescent="0.25">
      <c r="A51" s="76" t="s">
        <v>3163</v>
      </c>
      <c r="B51" s="6" t="s">
        <v>3019</v>
      </c>
      <c r="C51" s="6" t="s">
        <v>3019</v>
      </c>
      <c r="D51" s="6" t="s">
        <v>3164</v>
      </c>
      <c r="E51" s="9">
        <v>4</v>
      </c>
      <c r="F51" s="32"/>
      <c r="G51" s="56">
        <v>5</v>
      </c>
      <c r="H51" s="56">
        <f>G51-I51</f>
        <v>0</v>
      </c>
      <c r="I51" s="56">
        <v>5</v>
      </c>
      <c r="J51" s="6" t="s">
        <v>3157</v>
      </c>
    </row>
    <row r="52" spans="1:10" x14ac:dyDescent="0.25">
      <c r="A52" s="6" t="s">
        <v>3165</v>
      </c>
      <c r="B52" s="6"/>
      <c r="C52" s="6"/>
      <c r="D52" s="6" t="s">
        <v>3166</v>
      </c>
      <c r="E52" s="9">
        <v>10</v>
      </c>
      <c r="F52" s="26"/>
      <c r="G52" s="9">
        <v>3</v>
      </c>
      <c r="H52" s="9"/>
      <c r="I52" s="9"/>
      <c r="J52" s="6" t="s">
        <v>3147</v>
      </c>
    </row>
    <row r="53" spans="1:10" x14ac:dyDescent="0.25">
      <c r="A53" s="6" t="s">
        <v>3167</v>
      </c>
      <c r="B53" s="6"/>
      <c r="C53" s="6"/>
      <c r="D53" s="6" t="s">
        <v>3168</v>
      </c>
      <c r="E53" s="9">
        <v>10</v>
      </c>
      <c r="F53" s="26"/>
      <c r="G53" s="9">
        <v>1</v>
      </c>
      <c r="H53" s="56">
        <f>G53-I53</f>
        <v>0</v>
      </c>
      <c r="I53" s="9">
        <v>1</v>
      </c>
      <c r="J53" s="6" t="s">
        <v>3169</v>
      </c>
    </row>
    <row r="54" spans="1:11" x14ac:dyDescent="0.25">
      <c r="A54" s="76" t="s">
        <v>3170</v>
      </c>
      <c r="B54" s="55"/>
      <c r="C54" s="6"/>
      <c r="D54" s="6" t="s">
        <v>3171</v>
      </c>
      <c r="E54" s="9">
        <v>10</v>
      </c>
      <c r="F54" s="32"/>
      <c r="G54" s="100">
        <v>0</v>
      </c>
      <c r="H54" s="100"/>
      <c r="I54" s="100"/>
      <c r="J54" s="6" t="s">
        <v>3172</v>
      </c>
      <c r="K54" t="s">
        <v>3173</v>
      </c>
    </row>
    <row r="55" spans="1:11" x14ac:dyDescent="0.25">
      <c r="A55" s="76" t="s">
        <v>3174</v>
      </c>
      <c r="B55" s="55"/>
      <c r="C55" s="6"/>
      <c r="D55" s="6" t="s">
        <v>3175</v>
      </c>
      <c r="E55" s="9">
        <v>10</v>
      </c>
      <c r="F55" s="10"/>
      <c r="G55" s="56">
        <v>3</v>
      </c>
      <c r="H55" s="56">
        <f>G55-I55</f>
        <v>0</v>
      </c>
      <c r="I55" s="56">
        <v>3</v>
      </c>
      <c r="J55" s="6" t="s">
        <v>3140</v>
      </c>
      <c r="K55" t="s">
        <v>3176</v>
      </c>
    </row>
    <row r="56" spans="1:11" x14ac:dyDescent="0.25">
      <c r="A56" s="76" t="s">
        <v>3177</v>
      </c>
      <c r="B56" s="55"/>
      <c r="C56" s="6"/>
      <c r="D56" s="6" t="s">
        <v>3178</v>
      </c>
      <c r="E56" s="9">
        <v>10</v>
      </c>
      <c r="F56" s="10"/>
      <c r="G56" s="100">
        <v>0</v>
      </c>
      <c r="H56" s="100"/>
      <c r="I56" s="100"/>
      <c r="J56" s="6" t="s">
        <v>3069</v>
      </c>
      <c r="K56" t="s">
        <v>3176</v>
      </c>
    </row>
    <row r="57" spans="1:10" x14ac:dyDescent="0.25">
      <c r="A57" s="76" t="s">
        <v>3179</v>
      </c>
      <c r="B57" s="55" t="s">
        <v>3019</v>
      </c>
      <c r="C57" s="6" t="s">
        <v>3180</v>
      </c>
      <c r="D57" s="6" t="s">
        <v>3181</v>
      </c>
      <c r="E57" s="9">
        <v>5</v>
      </c>
      <c r="F57" s="10"/>
      <c r="G57" s="56">
        <v>2</v>
      </c>
      <c r="H57" s="56">
        <f t="shared" ref="H57:H67" si="0">G57-I57</f>
        <v>0</v>
      </c>
      <c r="I57" s="56">
        <v>2</v>
      </c>
      <c r="J57" s="6" t="s">
        <v>3085</v>
      </c>
    </row>
    <row r="58" spans="1:10" x14ac:dyDescent="0.25">
      <c r="A58" s="6" t="s">
        <v>3182</v>
      </c>
      <c r="B58" s="6"/>
      <c r="C58" s="6"/>
      <c r="D58" s="6" t="s">
        <v>3183</v>
      </c>
      <c r="E58" s="9">
        <v>20</v>
      </c>
      <c r="F58" s="6"/>
      <c r="G58" s="56">
        <v>2</v>
      </c>
      <c r="H58" s="56">
        <f t="shared" si="0"/>
        <v>0</v>
      </c>
      <c r="I58" s="56">
        <v>2</v>
      </c>
      <c r="J58" s="6" t="s">
        <v>3085</v>
      </c>
    </row>
    <row r="59" spans="1:10" x14ac:dyDescent="0.25">
      <c r="A59" s="6" t="s">
        <v>3184</v>
      </c>
      <c r="B59" s="6"/>
      <c r="C59" s="6"/>
      <c r="D59" s="6" t="s">
        <v>3185</v>
      </c>
      <c r="E59" s="9">
        <v>20</v>
      </c>
      <c r="F59" s="6"/>
      <c r="G59" s="9">
        <v>3</v>
      </c>
      <c r="H59" s="56">
        <f t="shared" si="0"/>
        <v>0</v>
      </c>
      <c r="I59" s="9">
        <v>3</v>
      </c>
      <c r="J59" s="6" t="s">
        <v>3089</v>
      </c>
    </row>
    <row r="60" spans="1:11" x14ac:dyDescent="0.25">
      <c r="A60" s="6" t="s">
        <v>3186</v>
      </c>
      <c r="B60" s="6"/>
      <c r="C60" s="6"/>
      <c r="D60" s="6" t="s">
        <v>3187</v>
      </c>
      <c r="E60" s="9">
        <v>20</v>
      </c>
      <c r="F60" s="6"/>
      <c r="G60" s="9">
        <v>1</v>
      </c>
      <c r="H60" s="56">
        <f t="shared" si="0"/>
        <v>-1</v>
      </c>
      <c r="I60" s="9">
        <v>2</v>
      </c>
      <c r="J60" s="6" t="s">
        <v>3085</v>
      </c>
      <c r="K60" t="s">
        <v>1602</v>
      </c>
    </row>
    <row r="61" spans="1:10" x14ac:dyDescent="0.25">
      <c r="A61" s="6" t="s">
        <v>3188</v>
      </c>
      <c r="B61" s="6"/>
      <c r="C61" s="6"/>
      <c r="D61" s="6" t="s">
        <v>3189</v>
      </c>
      <c r="E61" s="9">
        <v>20</v>
      </c>
      <c r="F61" s="6"/>
      <c r="G61" s="9">
        <v>2</v>
      </c>
      <c r="H61" s="56">
        <f t="shared" si="0"/>
        <v>0</v>
      </c>
      <c r="I61" s="9">
        <v>2</v>
      </c>
      <c r="J61" s="6" t="s">
        <v>3085</v>
      </c>
    </row>
    <row r="62" spans="1:10" x14ac:dyDescent="0.25">
      <c r="A62" s="6" t="s">
        <v>3190</v>
      </c>
      <c r="B62" s="6"/>
      <c r="C62" s="6"/>
      <c r="D62" s="6" t="s">
        <v>3191</v>
      </c>
      <c r="E62" s="9">
        <v>20</v>
      </c>
      <c r="F62" s="6"/>
      <c r="G62" s="9">
        <v>2</v>
      </c>
      <c r="H62" s="56">
        <f t="shared" si="0"/>
        <v>0</v>
      </c>
      <c r="I62" s="9">
        <v>2</v>
      </c>
      <c r="J62" s="6" t="s">
        <v>3085</v>
      </c>
    </row>
    <row r="63" spans="1:10" x14ac:dyDescent="0.25">
      <c r="A63" s="6" t="s">
        <v>3192</v>
      </c>
      <c r="B63" s="6"/>
      <c r="C63" s="6"/>
      <c r="D63" s="6" t="s">
        <v>3193</v>
      </c>
      <c r="E63" s="9">
        <v>20</v>
      </c>
      <c r="F63" s="6"/>
      <c r="G63" s="9">
        <v>2</v>
      </c>
      <c r="H63" s="56">
        <f t="shared" si="0"/>
        <v>1</v>
      </c>
      <c r="I63" s="9">
        <v>1</v>
      </c>
      <c r="J63" s="6" t="s">
        <v>3124</v>
      </c>
    </row>
    <row r="64" spans="1:10" x14ac:dyDescent="0.25">
      <c r="A64" s="6" t="s">
        <v>3194</v>
      </c>
      <c r="B64" s="6" t="s">
        <v>3019</v>
      </c>
      <c r="C64" s="6" t="s">
        <v>3019</v>
      </c>
      <c r="D64" s="6" t="s">
        <v>3195</v>
      </c>
      <c r="E64" s="9">
        <v>8</v>
      </c>
      <c r="F64" s="6"/>
      <c r="G64" s="9">
        <v>5</v>
      </c>
      <c r="H64" s="56">
        <f t="shared" si="0"/>
        <v>0</v>
      </c>
      <c r="I64" s="9">
        <v>5</v>
      </c>
      <c r="J64" s="6" t="s">
        <v>3196</v>
      </c>
    </row>
    <row r="65" spans="1:10" x14ac:dyDescent="0.25">
      <c r="A65" s="6" t="s">
        <v>3197</v>
      </c>
      <c r="B65" s="6" t="s">
        <v>3019</v>
      </c>
      <c r="C65" s="6" t="s">
        <v>3019</v>
      </c>
      <c r="D65" s="6" t="s">
        <v>3198</v>
      </c>
      <c r="E65" s="9">
        <v>8</v>
      </c>
      <c r="F65" s="6"/>
      <c r="G65" s="9">
        <v>5</v>
      </c>
      <c r="H65" s="56">
        <f t="shared" si="0"/>
        <v>0</v>
      </c>
      <c r="I65" s="9">
        <v>5</v>
      </c>
      <c r="J65" s="6" t="s">
        <v>3196</v>
      </c>
    </row>
    <row r="66" spans="1:10" x14ac:dyDescent="0.25">
      <c r="A66" s="6" t="s">
        <v>3199</v>
      </c>
      <c r="B66" s="6" t="s">
        <v>3019</v>
      </c>
      <c r="C66" s="6" t="s">
        <v>3019</v>
      </c>
      <c r="D66" s="6" t="s">
        <v>3200</v>
      </c>
      <c r="E66" s="9">
        <v>5</v>
      </c>
      <c r="F66" s="6"/>
      <c r="G66" s="9">
        <v>5</v>
      </c>
      <c r="H66" s="56">
        <f t="shared" si="0"/>
        <v>0</v>
      </c>
      <c r="I66" s="9">
        <v>5</v>
      </c>
      <c r="J66" s="6" t="s">
        <v>3201</v>
      </c>
    </row>
    <row r="67" spans="1:10" x14ac:dyDescent="0.25">
      <c r="A67" s="6" t="s">
        <v>3202</v>
      </c>
      <c r="B67" s="6" t="s">
        <v>3019</v>
      </c>
      <c r="C67" s="6" t="s">
        <v>3019</v>
      </c>
      <c r="D67" s="6" t="s">
        <v>3203</v>
      </c>
      <c r="E67" s="9">
        <v>5</v>
      </c>
      <c r="F67" s="6"/>
      <c r="G67" s="9">
        <v>5</v>
      </c>
      <c r="H67" s="56">
        <f t="shared" si="0"/>
        <v>0</v>
      </c>
      <c r="I67" s="9">
        <v>5</v>
      </c>
      <c r="J67" s="6" t="s">
        <v>3201</v>
      </c>
    </row>
    <row r="68" spans="1:10" x14ac:dyDescent="0.25">
      <c r="A68" s="6"/>
      <c r="B68" s="6"/>
      <c r="C68" s="6"/>
      <c r="D68" s="6"/>
      <c r="E68" s="9"/>
      <c r="F68" s="6"/>
      <c r="G68" s="9"/>
      <c r="H68" s="9"/>
      <c r="I68" s="9"/>
      <c r="J68" s="6"/>
    </row>
    <row r="69" spans="1:10" x14ac:dyDescent="0.25">
      <c r="A69" s="6"/>
      <c r="B69" s="6"/>
      <c r="C69" s="6"/>
      <c r="D69" s="6"/>
      <c r="E69" s="9"/>
      <c r="F69" s="6"/>
      <c r="G69" s="9"/>
      <c r="H69" s="9"/>
      <c r="I69" s="9"/>
      <c r="J69" s="6"/>
    </row>
    <row r="70" spans="1:10" x14ac:dyDescent="0.25">
      <c r="A70" s="6"/>
      <c r="B70" s="6"/>
      <c r="C70" s="6"/>
      <c r="D70" s="6"/>
      <c r="E70" s="9"/>
      <c r="F70" s="6"/>
      <c r="G70" s="9"/>
      <c r="H70" s="9"/>
      <c r="I70" s="9"/>
      <c r="J70" s="6"/>
    </row>
    <row r="71" spans="1:10" x14ac:dyDescent="0.25">
      <c r="A71" s="6"/>
      <c r="B71" s="6"/>
      <c r="C71" s="6"/>
      <c r="D71" s="6"/>
      <c r="E71" s="9"/>
      <c r="F71" s="6"/>
      <c r="G71" s="9"/>
      <c r="H71" s="9"/>
      <c r="I71" s="9"/>
      <c r="J71" s="6"/>
    </row>
    <row r="72" spans="1:10" x14ac:dyDescent="0.25">
      <c r="A72" s="6"/>
      <c r="B72" s="6"/>
      <c r="C72" s="6"/>
      <c r="D72" s="6"/>
      <c r="E72" s="9"/>
      <c r="F72" s="6"/>
      <c r="G72" s="9"/>
      <c r="H72" s="9"/>
      <c r="I72" s="9"/>
      <c r="J72" s="6"/>
    </row>
    <row r="73" spans="1:10" x14ac:dyDescent="0.25">
      <c r="A73" s="6"/>
      <c r="B73" s="6"/>
      <c r="C73" s="6"/>
      <c r="D73" s="6"/>
      <c r="E73" s="9"/>
      <c r="F73" s="6"/>
      <c r="G73" s="9"/>
      <c r="H73" s="9"/>
      <c r="I73" s="9"/>
      <c r="J73" s="6"/>
    </row>
    <row r="74" spans="1:10" x14ac:dyDescent="0.25">
      <c r="A74" s="6"/>
      <c r="B74" s="6"/>
      <c r="C74" s="6"/>
      <c r="D74" s="6"/>
      <c r="E74" s="9"/>
      <c r="F74" s="6"/>
      <c r="G74" s="9"/>
      <c r="H74" s="9"/>
      <c r="I74" s="9"/>
      <c r="J74" s="6"/>
    </row>
    <row r="75" spans="1:10" x14ac:dyDescent="0.25">
      <c r="A75" s="6"/>
      <c r="B75" s="6"/>
      <c r="C75" s="6"/>
      <c r="D75" s="6"/>
      <c r="E75" s="9"/>
      <c r="F75" s="6"/>
      <c r="G75" s="9"/>
      <c r="H75" s="9"/>
      <c r="I75" s="9"/>
      <c r="J75" s="6"/>
    </row>
    <row r="76" spans="1:10" x14ac:dyDescent="0.25">
      <c r="A76" s="6"/>
      <c r="B76" s="6"/>
      <c r="C76" s="6"/>
      <c r="D76" s="6"/>
      <c r="E76" s="9"/>
      <c r="F76" s="6"/>
      <c r="G76" s="9"/>
      <c r="H76" s="9"/>
      <c r="I76" s="9"/>
      <c r="J76" s="6"/>
    </row>
    <row r="77" spans="1:10" x14ac:dyDescent="0.25">
      <c r="A77" s="6"/>
      <c r="B77" s="6"/>
      <c r="C77" s="6"/>
      <c r="D77" s="6"/>
      <c r="E77" s="9"/>
      <c r="F77" s="6"/>
      <c r="G77" s="9"/>
      <c r="H77" s="9"/>
      <c r="I77" s="9"/>
      <c r="J77" s="6"/>
    </row>
    <row r="78" spans="1:10" x14ac:dyDescent="0.25">
      <c r="A78" s="6"/>
      <c r="B78" s="6"/>
      <c r="C78" s="6"/>
      <c r="D78" s="6"/>
      <c r="E78" s="9"/>
      <c r="F78" s="6"/>
      <c r="G78" s="9"/>
      <c r="H78" s="9"/>
      <c r="I78" s="9"/>
      <c r="J78" s="6"/>
    </row>
    <row r="79" spans="1:10" x14ac:dyDescent="0.25">
      <c r="A79" s="6"/>
      <c r="B79" s="6"/>
      <c r="C79" s="6"/>
      <c r="D79" s="6"/>
      <c r="E79" s="9"/>
      <c r="F79" s="6"/>
      <c r="G79" s="9"/>
      <c r="H79" s="9"/>
      <c r="I79" s="9"/>
      <c r="J79" s="6"/>
    </row>
    <row r="80" spans="1:10" x14ac:dyDescent="0.25">
      <c r="A80" s="6"/>
      <c r="B80" s="6"/>
      <c r="C80" s="6"/>
      <c r="D80" s="6"/>
      <c r="E80" s="9"/>
      <c r="F80" s="6"/>
      <c r="G80" s="9"/>
      <c r="H80" s="9"/>
      <c r="I80" s="9"/>
      <c r="J80" s="6"/>
    </row>
    <row r="81" spans="1:10" x14ac:dyDescent="0.25">
      <c r="A81" s="6"/>
      <c r="B81" s="6"/>
      <c r="C81" s="6"/>
      <c r="D81" s="6"/>
      <c r="E81" s="9"/>
      <c r="F81" s="6"/>
      <c r="G81" s="9"/>
      <c r="H81" s="9"/>
      <c r="I81" s="9"/>
      <c r="J81" s="6"/>
    </row>
    <row r="82" spans="1:10" x14ac:dyDescent="0.25">
      <c r="A82" s="6"/>
      <c r="B82" s="6"/>
      <c r="C82" s="6"/>
      <c r="D82" s="6"/>
      <c r="E82" s="9"/>
      <c r="F82" s="6"/>
      <c r="G82" s="9"/>
      <c r="H82" s="9"/>
      <c r="I82" s="9"/>
      <c r="J82" s="6"/>
    </row>
    <row r="83" spans="1:10" x14ac:dyDescent="0.25">
      <c r="A83" s="6"/>
      <c r="B83" s="6"/>
      <c r="C83" s="6"/>
      <c r="D83" s="6"/>
      <c r="E83" s="9"/>
      <c r="F83" s="6"/>
      <c r="G83" s="9"/>
      <c r="H83" s="9"/>
      <c r="I83" s="9"/>
      <c r="J83" s="6"/>
    </row>
    <row r="84" spans="1:10" x14ac:dyDescent="0.25">
      <c r="A84" s="6"/>
      <c r="B84" s="6"/>
      <c r="C84" s="6"/>
      <c r="D84" s="6"/>
      <c r="E84" s="9"/>
      <c r="F84" s="6"/>
      <c r="G84" s="9"/>
      <c r="H84" s="9"/>
      <c r="I84" s="9"/>
      <c r="J84" s="6"/>
    </row>
  </sheetData>
  <autoFilter ref="A2:M67"/>
  <pageMargins left="0.7086614173228347" right="0.7086614173228347" top="0.7480314960629921" bottom="0.7480314960629921" header="0.31496062992125984" footer="0.31496062992125984"/>
  <pageSetup paperSize="9" orientation="landscape" horizontalDpi="0" verticalDpi="0" scale="4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9"/>
  <sheetViews>
    <sheetView workbookViewId="0" zoomScale="100" zoomScaleNormal="100">
      <selection activeCell="L4" sqref="L4"/>
    </sheetView>
  </sheetViews>
  <sheetFormatPr defaultRowHeight="15" outlineLevelRow="0" outlineLevelCol="0" x14ac:dyDescent="0"/>
  <cols>
    <col min="2" max="2" width="9.42578125" customWidth="1"/>
    <col min="3" max="3" width="35.5703125" customWidth="1"/>
    <col min="4" max="4" width="9.42578125" style="208" customWidth="1"/>
    <col min="5" max="5" width="29.42578125" customWidth="1"/>
    <col min="6" max="6" width="9.42578125" style="208" customWidth="1"/>
    <col min="7" max="7" width="23.42578125" style="208" customWidth="1"/>
    <col min="8" max="9" width="10.5703125" customWidth="1"/>
  </cols>
  <sheetData>
    <row r="1" spans="3:3" x14ac:dyDescent="0.25">
      <c r="C1" s="270" t="s">
        <v>5369</v>
      </c>
    </row>
    <row r="2" spans="1:10" x14ac:dyDescent="0.25">
      <c r="A2" s="6" t="s">
        <v>3018</v>
      </c>
      <c r="B2" s="6" t="s">
        <v>3019</v>
      </c>
      <c r="C2" s="6" t="s">
        <v>3020</v>
      </c>
      <c r="D2" s="50">
        <v>26</v>
      </c>
      <c r="E2" s="26"/>
      <c r="F2" s="9">
        <v>10</v>
      </c>
      <c r="G2" s="9" t="s">
        <v>5370</v>
      </c>
      <c r="H2" t="s">
        <v>5371</v>
      </c>
      <c r="I2" t="s">
        <v>900</v>
      </c>
      <c r="J2" s="4"/>
    </row>
    <row r="3" spans="1:10" x14ac:dyDescent="0.25">
      <c r="A3" s="6" t="s">
        <v>3025</v>
      </c>
      <c r="B3" s="6" t="s">
        <v>3019</v>
      </c>
      <c r="C3" s="6" t="s">
        <v>3026</v>
      </c>
      <c r="D3" s="9">
        <v>26</v>
      </c>
      <c r="E3" s="26"/>
      <c r="F3" s="56">
        <v>15</v>
      </c>
      <c r="G3" s="9" t="s">
        <v>5370</v>
      </c>
      <c r="H3" t="s">
        <v>5372</v>
      </c>
      <c r="I3" t="s">
        <v>1783</v>
      </c>
      <c r="J3" s="4"/>
    </row>
    <row r="4" spans="1:11" x14ac:dyDescent="0.25">
      <c r="A4" s="26" t="s">
        <v>3028</v>
      </c>
      <c r="B4" s="6" t="s">
        <v>3019</v>
      </c>
      <c r="C4" s="26" t="s">
        <v>3029</v>
      </c>
      <c r="D4" s="9">
        <v>26</v>
      </c>
      <c r="E4" s="26"/>
      <c r="F4" s="9">
        <v>26</v>
      </c>
      <c r="G4" s="9" t="s">
        <v>5373</v>
      </c>
      <c r="H4" t="s">
        <v>5374</v>
      </c>
      <c r="I4" s="209" t="s">
        <v>5375</v>
      </c>
      <c r="J4" s="4" t="s">
        <v>5376</v>
      </c>
      <c r="K4" t="s">
        <v>62</v>
      </c>
    </row>
    <row r="5" spans="1:10" x14ac:dyDescent="0.25">
      <c r="A5" s="6" t="s">
        <v>3031</v>
      </c>
      <c r="B5" s="6" t="s">
        <v>3019</v>
      </c>
      <c r="C5" s="26" t="s">
        <v>3032</v>
      </c>
      <c r="D5" s="9">
        <v>26</v>
      </c>
      <c r="E5" s="26"/>
      <c r="F5" s="9">
        <v>15</v>
      </c>
      <c r="G5" s="9" t="s">
        <v>5377</v>
      </c>
      <c r="H5" t="s">
        <v>5378</v>
      </c>
      <c r="I5" t="s">
        <v>1633</v>
      </c>
      <c r="J5" s="4"/>
    </row>
    <row r="6" spans="1:10" x14ac:dyDescent="0.25">
      <c r="A6" s="6" t="s">
        <v>3033</v>
      </c>
      <c r="B6" s="6"/>
      <c r="C6" s="26" t="s">
        <v>3034</v>
      </c>
      <c r="D6" s="9">
        <v>26</v>
      </c>
      <c r="E6" s="26"/>
      <c r="F6" s="56">
        <v>2</v>
      </c>
      <c r="G6" s="9" t="s">
        <v>5379</v>
      </c>
      <c r="H6" t="s">
        <v>3036</v>
      </c>
      <c r="I6" t="s">
        <v>2161</v>
      </c>
      <c r="J6" s="4"/>
    </row>
    <row r="7" spans="1:10" x14ac:dyDescent="0.25">
      <c r="A7" s="6" t="s">
        <v>3037</v>
      </c>
      <c r="B7" s="6"/>
      <c r="C7" s="26" t="s">
        <v>3038</v>
      </c>
      <c r="D7" s="9">
        <v>26</v>
      </c>
      <c r="E7" s="26"/>
      <c r="F7" s="56">
        <v>2</v>
      </c>
      <c r="G7" s="9" t="s">
        <v>5380</v>
      </c>
      <c r="H7" t="s">
        <v>2158</v>
      </c>
      <c r="J7" s="4"/>
    </row>
    <row r="8" spans="1:10" x14ac:dyDescent="0.25">
      <c r="A8" s="6" t="s">
        <v>3040</v>
      </c>
      <c r="B8" s="6"/>
      <c r="C8" s="26" t="s">
        <v>3041</v>
      </c>
      <c r="D8" s="9">
        <v>26</v>
      </c>
      <c r="E8" s="26"/>
      <c r="F8" s="56">
        <v>3</v>
      </c>
      <c r="G8" s="9" t="s">
        <v>3726</v>
      </c>
      <c r="H8" t="s">
        <v>3043</v>
      </c>
      <c r="J8" s="4"/>
    </row>
    <row r="9" spans="1:8" x14ac:dyDescent="0.25">
      <c r="A9" s="6" t="s">
        <v>3044</v>
      </c>
      <c r="B9" s="6" t="s">
        <v>29</v>
      </c>
      <c r="C9" s="26" t="s">
        <v>3045</v>
      </c>
      <c r="D9" s="9">
        <v>26</v>
      </c>
      <c r="E9" s="26"/>
      <c r="F9" s="56">
        <v>6</v>
      </c>
      <c r="G9" s="9" t="s">
        <v>3728</v>
      </c>
      <c r="H9" t="s">
        <v>3047</v>
      </c>
    </row>
    <row r="10" spans="1:8" x14ac:dyDescent="0.25">
      <c r="A10" s="6" t="s">
        <v>3048</v>
      </c>
      <c r="B10" s="6" t="s">
        <v>29</v>
      </c>
      <c r="C10" s="26" t="s">
        <v>3049</v>
      </c>
      <c r="D10" s="9">
        <v>26</v>
      </c>
      <c r="E10" s="26"/>
      <c r="F10" s="100">
        <v>0</v>
      </c>
      <c r="G10" s="9" t="s">
        <v>3050</v>
      </c>
      <c r="H10" t="s">
        <v>3036</v>
      </c>
    </row>
    <row r="11" spans="1:8" x14ac:dyDescent="0.25">
      <c r="A11" s="6" t="s">
        <v>3732</v>
      </c>
      <c r="B11" s="6" t="s">
        <v>3019</v>
      </c>
      <c r="C11" s="26" t="s">
        <v>3733</v>
      </c>
      <c r="D11" s="9">
        <v>26</v>
      </c>
      <c r="E11" s="26"/>
      <c r="F11" s="56">
        <v>4</v>
      </c>
      <c r="G11" s="9" t="s">
        <v>3726</v>
      </c>
      <c r="H11" t="s">
        <v>1098</v>
      </c>
    </row>
    <row r="12" spans="1:9" x14ac:dyDescent="0.25">
      <c r="A12" s="6" t="s">
        <v>3051</v>
      </c>
      <c r="B12" s="6" t="s">
        <v>3019</v>
      </c>
      <c r="C12" s="26" t="s">
        <v>3052</v>
      </c>
      <c r="D12" s="9">
        <v>26</v>
      </c>
      <c r="E12" s="26"/>
      <c r="F12" s="9">
        <v>11</v>
      </c>
      <c r="G12" s="9" t="s">
        <v>5381</v>
      </c>
      <c r="H12" t="s">
        <v>5382</v>
      </c>
      <c r="I12" t="s">
        <v>2407</v>
      </c>
    </row>
    <row r="13" spans="1:9" x14ac:dyDescent="0.25">
      <c r="A13" s="6" t="s">
        <v>3055</v>
      </c>
      <c r="B13" s="6" t="s">
        <v>3019</v>
      </c>
      <c r="C13" s="26" t="s">
        <v>3056</v>
      </c>
      <c r="D13" s="9">
        <v>6</v>
      </c>
      <c r="E13" s="26"/>
      <c r="F13" s="100">
        <v>0</v>
      </c>
      <c r="G13" s="9" t="s">
        <v>3057</v>
      </c>
      <c r="H13" t="s">
        <v>3737</v>
      </c>
      <c r="I13" t="s">
        <v>3738</v>
      </c>
    </row>
    <row r="14" spans="1:9" x14ac:dyDescent="0.25">
      <c r="A14" s="6" t="s">
        <v>3058</v>
      </c>
      <c r="B14" s="6" t="s">
        <v>3019</v>
      </c>
      <c r="C14" s="26" t="s">
        <v>3059</v>
      </c>
      <c r="D14" s="9">
        <v>6</v>
      </c>
      <c r="E14" s="26"/>
      <c r="F14" s="100">
        <v>0</v>
      </c>
      <c r="G14" s="9" t="s">
        <v>3057</v>
      </c>
      <c r="H14" t="s">
        <v>3739</v>
      </c>
      <c r="I14" t="s">
        <v>3740</v>
      </c>
    </row>
    <row r="15" spans="1:8" x14ac:dyDescent="0.25">
      <c r="A15" s="6" t="s">
        <v>3060</v>
      </c>
      <c r="B15" s="6" t="s">
        <v>5</v>
      </c>
      <c r="C15" s="6" t="s">
        <v>3061</v>
      </c>
      <c r="D15" s="9">
        <v>26</v>
      </c>
      <c r="E15" s="26"/>
      <c r="F15" s="100">
        <v>0</v>
      </c>
      <c r="G15" s="9" t="s">
        <v>3062</v>
      </c>
      <c r="H15" t="s">
        <v>1815</v>
      </c>
    </row>
    <row r="16" spans="1:8" x14ac:dyDescent="0.25">
      <c r="A16" s="6" t="s">
        <v>3063</v>
      </c>
      <c r="B16" s="6" t="s">
        <v>5</v>
      </c>
      <c r="C16" s="6" t="s">
        <v>3064</v>
      </c>
      <c r="D16" s="9">
        <v>26</v>
      </c>
      <c r="E16" s="26"/>
      <c r="F16" s="100">
        <v>0</v>
      </c>
      <c r="G16" s="9" t="s">
        <v>3065</v>
      </c>
      <c r="H16" t="s">
        <v>3066</v>
      </c>
    </row>
    <row r="17" spans="1:7" x14ac:dyDescent="0.25">
      <c r="A17" s="6" t="s">
        <v>3067</v>
      </c>
      <c r="B17" s="6" t="s">
        <v>5</v>
      </c>
      <c r="C17" s="6" t="s">
        <v>3068</v>
      </c>
      <c r="D17" s="9">
        <v>26</v>
      </c>
      <c r="E17" s="26"/>
      <c r="F17" s="100">
        <v>0</v>
      </c>
      <c r="G17" s="9" t="s">
        <v>3069</v>
      </c>
    </row>
    <row r="18" spans="1:7" x14ac:dyDescent="0.25">
      <c r="A18" s="6" t="s">
        <v>3070</v>
      </c>
      <c r="B18" s="6" t="s">
        <v>5</v>
      </c>
      <c r="C18" s="6" t="s">
        <v>3071</v>
      </c>
      <c r="D18" s="9">
        <v>26</v>
      </c>
      <c r="E18" s="26"/>
      <c r="F18" s="100">
        <v>0</v>
      </c>
      <c r="G18" s="9" t="s">
        <v>3072</v>
      </c>
    </row>
    <row r="19" spans="1:7" x14ac:dyDescent="0.25">
      <c r="A19" s="6" t="s">
        <v>3075</v>
      </c>
      <c r="B19" s="6" t="s">
        <v>5</v>
      </c>
      <c r="C19" s="6" t="s">
        <v>3076</v>
      </c>
      <c r="D19" s="9">
        <v>26</v>
      </c>
      <c r="E19" s="26"/>
      <c r="F19" s="100">
        <v>0</v>
      </c>
      <c r="G19" s="9" t="s">
        <v>3077</v>
      </c>
    </row>
    <row r="20" spans="1:9" x14ac:dyDescent="0.25">
      <c r="A20" s="6" t="s">
        <v>3078</v>
      </c>
      <c r="B20" s="6" t="s">
        <v>5</v>
      </c>
      <c r="C20" s="6" t="s">
        <v>3079</v>
      </c>
      <c r="D20" s="9">
        <v>26</v>
      </c>
      <c r="E20" s="26"/>
      <c r="F20" s="100">
        <v>0</v>
      </c>
      <c r="G20" s="9" t="s">
        <v>3080</v>
      </c>
      <c r="H20" t="s">
        <v>1512</v>
      </c>
      <c r="I20" t="s">
        <v>703</v>
      </c>
    </row>
    <row r="21" spans="1:9" x14ac:dyDescent="0.25">
      <c r="A21" s="6" t="s">
        <v>3082</v>
      </c>
      <c r="B21" s="6" t="s">
        <v>5</v>
      </c>
      <c r="C21" s="6" t="s">
        <v>3084</v>
      </c>
      <c r="D21" s="9">
        <v>25</v>
      </c>
      <c r="E21" s="26"/>
      <c r="F21" s="100">
        <v>0</v>
      </c>
      <c r="G21" s="9" t="s">
        <v>3085</v>
      </c>
      <c r="H21" t="s">
        <v>3741</v>
      </c>
      <c r="I21" t="s">
        <v>3742</v>
      </c>
    </row>
    <row r="22" spans="1:9" x14ac:dyDescent="0.25">
      <c r="A22" s="6" t="s">
        <v>3087</v>
      </c>
      <c r="B22" s="6"/>
      <c r="C22" s="6" t="s">
        <v>3088</v>
      </c>
      <c r="D22" s="9">
        <v>25</v>
      </c>
      <c r="E22" s="26"/>
      <c r="F22" s="100">
        <v>0</v>
      </c>
      <c r="G22" s="9" t="s">
        <v>3089</v>
      </c>
      <c r="H22" t="s">
        <v>3086</v>
      </c>
      <c r="I22" t="s">
        <v>3743</v>
      </c>
    </row>
    <row r="23" spans="1:9" x14ac:dyDescent="0.25">
      <c r="A23" s="6" t="s">
        <v>3090</v>
      </c>
      <c r="B23" s="6"/>
      <c r="C23" s="6" t="s">
        <v>3091</v>
      </c>
      <c r="D23" s="9">
        <v>25</v>
      </c>
      <c r="E23" s="26"/>
      <c r="F23" s="100">
        <v>0</v>
      </c>
      <c r="G23" s="9" t="s">
        <v>5383</v>
      </c>
      <c r="H23" t="s">
        <v>34</v>
      </c>
      <c r="I23" t="s">
        <v>3741</v>
      </c>
    </row>
    <row r="24" spans="1:9" x14ac:dyDescent="0.25">
      <c r="A24" s="6" t="s">
        <v>3092</v>
      </c>
      <c r="B24" s="6"/>
      <c r="C24" s="6" t="s">
        <v>3093</v>
      </c>
      <c r="D24" s="9">
        <v>25</v>
      </c>
      <c r="E24" s="26"/>
      <c r="F24" s="100">
        <v>0</v>
      </c>
      <c r="G24" s="9" t="s">
        <v>5383</v>
      </c>
      <c r="H24" t="s">
        <v>3094</v>
      </c>
      <c r="I24" t="s">
        <v>2216</v>
      </c>
    </row>
    <row r="25" spans="1:8" x14ac:dyDescent="0.25">
      <c r="A25" s="6" t="s">
        <v>3095</v>
      </c>
      <c r="B25" s="6"/>
      <c r="C25" s="6" t="s">
        <v>3096</v>
      </c>
      <c r="D25" s="9">
        <v>25</v>
      </c>
      <c r="E25" s="26"/>
      <c r="F25" s="9">
        <v>2</v>
      </c>
      <c r="G25" s="9" t="s">
        <v>3097</v>
      </c>
      <c r="H25" t="s">
        <v>3098</v>
      </c>
    </row>
    <row r="26" spans="1:9" x14ac:dyDescent="0.25">
      <c r="A26" s="6" t="s">
        <v>3099</v>
      </c>
      <c r="B26" s="6"/>
      <c r="C26" s="6" t="s">
        <v>3100</v>
      </c>
      <c r="D26" s="9">
        <v>25</v>
      </c>
      <c r="E26" s="26"/>
      <c r="F26" s="56">
        <v>5</v>
      </c>
      <c r="G26" s="9" t="s">
        <v>5384</v>
      </c>
      <c r="H26" s="209" t="s">
        <v>106</v>
      </c>
      <c r="I26" s="209" t="s">
        <v>5385</v>
      </c>
    </row>
    <row r="27" spans="1:9" x14ac:dyDescent="0.25">
      <c r="A27" s="6" t="s">
        <v>3103</v>
      </c>
      <c r="B27" s="6"/>
      <c r="C27" s="6" t="s">
        <v>3104</v>
      </c>
      <c r="D27" s="9">
        <v>25</v>
      </c>
      <c r="E27" s="26"/>
      <c r="F27" s="9">
        <v>5</v>
      </c>
      <c r="G27" s="9" t="s">
        <v>3105</v>
      </c>
      <c r="H27" t="s">
        <v>5386</v>
      </c>
      <c r="I27" t="s">
        <v>5387</v>
      </c>
    </row>
    <row r="28" spans="1:9" x14ac:dyDescent="0.25">
      <c r="A28" s="6" t="s">
        <v>3106</v>
      </c>
      <c r="B28" s="6"/>
      <c r="C28" s="6" t="s">
        <v>3107</v>
      </c>
      <c r="D28" s="9">
        <v>25</v>
      </c>
      <c r="E28" s="26"/>
      <c r="F28" s="9">
        <v>6</v>
      </c>
      <c r="G28" s="9" t="s">
        <v>5388</v>
      </c>
      <c r="H28" t="s">
        <v>5389</v>
      </c>
      <c r="I28" t="s">
        <v>5390</v>
      </c>
    </row>
    <row r="29" spans="1:9" x14ac:dyDescent="0.25">
      <c r="A29" s="6" t="s">
        <v>3108</v>
      </c>
      <c r="B29" s="6"/>
      <c r="C29" s="6" t="s">
        <v>3109</v>
      </c>
      <c r="D29" s="9">
        <v>25</v>
      </c>
      <c r="E29" s="26"/>
      <c r="F29" s="100">
        <v>0</v>
      </c>
      <c r="G29" s="9" t="s">
        <v>3042</v>
      </c>
      <c r="H29" t="s">
        <v>524</v>
      </c>
      <c r="I29" t="s">
        <v>1112</v>
      </c>
    </row>
    <row r="30" spans="1:9" x14ac:dyDescent="0.25">
      <c r="A30" s="6" t="s">
        <v>3063</v>
      </c>
      <c r="B30" s="6"/>
      <c r="C30" s="6" t="s">
        <v>3110</v>
      </c>
      <c r="D30" s="9">
        <v>25</v>
      </c>
      <c r="E30" s="26"/>
      <c r="F30" s="100">
        <v>0</v>
      </c>
      <c r="G30" s="9" t="s">
        <v>3111</v>
      </c>
      <c r="H30" t="s">
        <v>524</v>
      </c>
      <c r="I30" t="s">
        <v>3769</v>
      </c>
    </row>
    <row r="31" spans="1:7" x14ac:dyDescent="0.25">
      <c r="A31" s="6" t="s">
        <v>3773</v>
      </c>
      <c r="B31" s="6"/>
      <c r="C31" s="6" t="s">
        <v>3774</v>
      </c>
      <c r="D31" s="9">
        <v>25</v>
      </c>
      <c r="E31" s="26"/>
      <c r="F31" s="9">
        <v>2</v>
      </c>
      <c r="G31" s="9" t="s">
        <v>5391</v>
      </c>
    </row>
    <row r="32" spans="1:7" x14ac:dyDescent="0.25">
      <c r="A32" s="6" t="s">
        <v>3112</v>
      </c>
      <c r="B32" s="6"/>
      <c r="C32" s="6" t="s">
        <v>3113</v>
      </c>
      <c r="D32" s="9">
        <v>25</v>
      </c>
      <c r="E32" s="26"/>
      <c r="F32" s="9">
        <v>6</v>
      </c>
      <c r="G32" s="9" t="s">
        <v>3114</v>
      </c>
    </row>
    <row r="33" spans="1:9" x14ac:dyDescent="0.25">
      <c r="A33" s="6" t="s">
        <v>3115</v>
      </c>
      <c r="B33" s="6"/>
      <c r="C33" s="6" t="s">
        <v>3116</v>
      </c>
      <c r="D33" s="9">
        <v>25</v>
      </c>
      <c r="E33" s="26"/>
      <c r="F33" s="9">
        <v>11</v>
      </c>
      <c r="G33" s="9" t="s">
        <v>3101</v>
      </c>
      <c r="H33" t="s">
        <v>2765</v>
      </c>
      <c r="I33" t="s">
        <v>5392</v>
      </c>
    </row>
    <row r="34" spans="1:8" x14ac:dyDescent="0.25">
      <c r="A34" s="6" t="s">
        <v>3117</v>
      </c>
      <c r="B34" s="6"/>
      <c r="C34" s="6" t="s">
        <v>3118</v>
      </c>
      <c r="D34" s="9">
        <v>26</v>
      </c>
      <c r="E34" s="26"/>
      <c r="F34" s="56">
        <v>6</v>
      </c>
      <c r="G34" s="9" t="s">
        <v>3119</v>
      </c>
      <c r="H34" t="s">
        <v>2349</v>
      </c>
    </row>
    <row r="35" spans="1:9" x14ac:dyDescent="0.25">
      <c r="A35" s="6" t="s">
        <v>3120</v>
      </c>
      <c r="B35" s="6"/>
      <c r="C35" s="6" t="s">
        <v>3121</v>
      </c>
      <c r="D35" s="9">
        <v>26</v>
      </c>
      <c r="E35" s="26"/>
      <c r="F35" s="100">
        <v>0</v>
      </c>
      <c r="G35" s="9" t="s">
        <v>3119</v>
      </c>
      <c r="H35" t="s">
        <v>1403</v>
      </c>
      <c r="I35" t="s">
        <v>2785</v>
      </c>
    </row>
    <row r="36" spans="1:7" x14ac:dyDescent="0.25">
      <c r="A36" s="6" t="s">
        <v>3122</v>
      </c>
      <c r="B36" s="6"/>
      <c r="C36" s="6" t="s">
        <v>5393</v>
      </c>
      <c r="D36" s="9">
        <v>25</v>
      </c>
      <c r="E36" s="26"/>
      <c r="F36" s="100">
        <v>0</v>
      </c>
      <c r="G36" s="9" t="s">
        <v>3124</v>
      </c>
    </row>
    <row r="37" spans="1:8" x14ac:dyDescent="0.25">
      <c r="A37" s="6" t="s">
        <v>3125</v>
      </c>
      <c r="B37" s="6"/>
      <c r="C37" s="6" t="s">
        <v>3126</v>
      </c>
      <c r="D37" s="9">
        <v>25</v>
      </c>
      <c r="E37" s="26"/>
      <c r="F37" s="100">
        <v>0</v>
      </c>
      <c r="G37" s="9" t="s">
        <v>3124</v>
      </c>
      <c r="H37" t="s">
        <v>3791</v>
      </c>
    </row>
    <row r="38" spans="1:8" x14ac:dyDescent="0.25">
      <c r="A38" s="6" t="s">
        <v>3055</v>
      </c>
      <c r="B38" s="6"/>
      <c r="C38" s="6" t="s">
        <v>3127</v>
      </c>
      <c r="D38" s="9">
        <v>25</v>
      </c>
      <c r="E38" s="26"/>
      <c r="F38" s="100">
        <v>0</v>
      </c>
      <c r="G38" s="9" t="s">
        <v>3124</v>
      </c>
      <c r="H38" t="s">
        <v>3791</v>
      </c>
    </row>
    <row r="39" spans="1:9" x14ac:dyDescent="0.25">
      <c r="A39" s="6" t="s">
        <v>3128</v>
      </c>
      <c r="B39" s="6"/>
      <c r="C39" s="6" t="s">
        <v>3129</v>
      </c>
      <c r="D39" s="9">
        <v>15</v>
      </c>
      <c r="E39" s="26"/>
      <c r="F39" s="56">
        <v>1</v>
      </c>
      <c r="G39" s="9" t="s">
        <v>3085</v>
      </c>
      <c r="H39" t="s">
        <v>3792</v>
      </c>
      <c r="I39" t="s">
        <v>3793</v>
      </c>
    </row>
    <row r="40" spans="1:8" x14ac:dyDescent="0.25">
      <c r="A40" s="6" t="s">
        <v>3130</v>
      </c>
      <c r="B40" s="6"/>
      <c r="C40" s="6" t="s">
        <v>3131</v>
      </c>
      <c r="D40" s="9">
        <v>20</v>
      </c>
      <c r="E40" s="26"/>
      <c r="F40" s="9">
        <v>1</v>
      </c>
      <c r="G40" s="9" t="s">
        <v>3132</v>
      </c>
      <c r="H40" t="s">
        <v>3440</v>
      </c>
    </row>
    <row r="41" spans="1:9" x14ac:dyDescent="0.25">
      <c r="A41" s="6" t="s">
        <v>3796</v>
      </c>
      <c r="B41" s="6"/>
      <c r="C41" s="6" t="s">
        <v>3797</v>
      </c>
      <c r="D41" s="9">
        <v>20</v>
      </c>
      <c r="E41" s="26"/>
      <c r="F41" s="56">
        <v>5</v>
      </c>
      <c r="G41" s="9" t="s">
        <v>5373</v>
      </c>
      <c r="H41" s="209" t="s">
        <v>5394</v>
      </c>
      <c r="I41" t="s">
        <v>5390</v>
      </c>
    </row>
    <row r="42" spans="1:9" x14ac:dyDescent="0.25">
      <c r="A42" s="6" t="s">
        <v>3133</v>
      </c>
      <c r="B42" s="6"/>
      <c r="C42" s="6" t="s">
        <v>3134</v>
      </c>
      <c r="D42" s="9">
        <v>5</v>
      </c>
      <c r="E42" s="26"/>
      <c r="F42" s="100">
        <v>0</v>
      </c>
      <c r="G42" s="9" t="s">
        <v>3053</v>
      </c>
      <c r="H42" t="s">
        <v>3801</v>
      </c>
      <c r="I42" t="s">
        <v>3792</v>
      </c>
    </row>
    <row r="43" spans="1:9" x14ac:dyDescent="0.25">
      <c r="A43" s="6" t="s">
        <v>3135</v>
      </c>
      <c r="B43" s="6"/>
      <c r="C43" s="6" t="s">
        <v>3136</v>
      </c>
      <c r="D43" s="9">
        <v>5</v>
      </c>
      <c r="E43" s="26"/>
      <c r="F43" s="100">
        <v>0</v>
      </c>
      <c r="G43" s="9" t="s">
        <v>3053</v>
      </c>
      <c r="H43" t="s">
        <v>1633</v>
      </c>
      <c r="I43" t="s">
        <v>3952</v>
      </c>
    </row>
    <row r="44" spans="1:9" x14ac:dyDescent="0.25">
      <c r="A44" s="6" t="s">
        <v>3138</v>
      </c>
      <c r="B44" s="6"/>
      <c r="C44" s="6" t="s">
        <v>3139</v>
      </c>
      <c r="D44" s="9">
        <v>24</v>
      </c>
      <c r="E44" s="26"/>
      <c r="F44" s="9">
        <v>4</v>
      </c>
      <c r="G44" s="9" t="s">
        <v>3140</v>
      </c>
      <c r="H44" t="s">
        <v>3816</v>
      </c>
      <c r="I44" t="s">
        <v>303</v>
      </c>
    </row>
    <row r="45" spans="1:7" x14ac:dyDescent="0.25">
      <c r="A45" s="6" t="s">
        <v>3141</v>
      </c>
      <c r="B45" s="6"/>
      <c r="C45" s="6" t="s">
        <v>3139</v>
      </c>
      <c r="D45" s="9">
        <v>10</v>
      </c>
      <c r="E45" s="26"/>
      <c r="F45" s="9">
        <v>1</v>
      </c>
      <c r="G45" s="9" t="s">
        <v>3069</v>
      </c>
    </row>
    <row r="46" spans="1:7" x14ac:dyDescent="0.25">
      <c r="A46" s="6" t="s">
        <v>3142</v>
      </c>
      <c r="B46" s="6"/>
      <c r="C46" s="6" t="s">
        <v>3143</v>
      </c>
      <c r="D46" s="9">
        <v>24</v>
      </c>
      <c r="E46" s="26"/>
      <c r="F46" s="100">
        <v>0</v>
      </c>
      <c r="G46" s="9" t="s">
        <v>3144</v>
      </c>
    </row>
    <row r="47" spans="1:9" x14ac:dyDescent="0.25">
      <c r="A47" s="76" t="s">
        <v>3145</v>
      </c>
      <c r="B47" s="55"/>
      <c r="C47" s="55" t="s">
        <v>3146</v>
      </c>
      <c r="D47" s="9">
        <v>24</v>
      </c>
      <c r="E47" s="32"/>
      <c r="F47" s="56">
        <v>2</v>
      </c>
      <c r="G47" s="9" t="s">
        <v>3147</v>
      </c>
      <c r="H47" t="s">
        <v>3148</v>
      </c>
      <c r="I47" t="s">
        <v>3829</v>
      </c>
    </row>
    <row r="48" spans="1:9" x14ac:dyDescent="0.25">
      <c r="A48" s="76" t="s">
        <v>3149</v>
      </c>
      <c r="B48" s="55" t="s">
        <v>5</v>
      </c>
      <c r="C48" s="55" t="s">
        <v>3150</v>
      </c>
      <c r="D48" s="9">
        <v>24</v>
      </c>
      <c r="E48" s="32"/>
      <c r="F48" s="56">
        <v>1</v>
      </c>
      <c r="G48" s="9" t="s">
        <v>5395</v>
      </c>
      <c r="H48" t="s">
        <v>3148</v>
      </c>
      <c r="I48" t="s">
        <v>3829</v>
      </c>
    </row>
    <row r="49" spans="1:7" x14ac:dyDescent="0.25">
      <c r="A49" s="76" t="s">
        <v>3152</v>
      </c>
      <c r="B49" s="55"/>
      <c r="C49" s="55" t="s">
        <v>3153</v>
      </c>
      <c r="D49" s="9">
        <v>24</v>
      </c>
      <c r="E49" s="32"/>
      <c r="F49" s="56">
        <v>3</v>
      </c>
      <c r="G49" s="9" t="s">
        <v>3154</v>
      </c>
    </row>
    <row r="50" spans="1:9" x14ac:dyDescent="0.25">
      <c r="A50" s="76" t="s">
        <v>3155</v>
      </c>
      <c r="B50" s="55" t="s">
        <v>5</v>
      </c>
      <c r="C50" s="55" t="s">
        <v>3156</v>
      </c>
      <c r="D50" s="9">
        <v>24</v>
      </c>
      <c r="E50" s="32"/>
      <c r="F50" s="56">
        <v>4</v>
      </c>
      <c r="G50" s="9" t="s">
        <v>5396</v>
      </c>
      <c r="H50" t="s">
        <v>1824</v>
      </c>
      <c r="I50" t="s">
        <v>3952</v>
      </c>
    </row>
    <row r="51" spans="1:9" x14ac:dyDescent="0.25">
      <c r="A51" s="76" t="s">
        <v>3159</v>
      </c>
      <c r="B51" s="55" t="s">
        <v>5</v>
      </c>
      <c r="C51" s="55" t="s">
        <v>3160</v>
      </c>
      <c r="D51" s="9">
        <v>24</v>
      </c>
      <c r="E51" s="32"/>
      <c r="F51" s="56">
        <v>3</v>
      </c>
      <c r="G51" s="9" t="s">
        <v>5384</v>
      </c>
      <c r="H51" t="s">
        <v>1470</v>
      </c>
      <c r="I51" t="s">
        <v>1716</v>
      </c>
    </row>
    <row r="52" spans="1:8" x14ac:dyDescent="0.25">
      <c r="A52" s="76" t="s">
        <v>3073</v>
      </c>
      <c r="B52" s="55" t="s">
        <v>5</v>
      </c>
      <c r="C52" s="55" t="s">
        <v>3869</v>
      </c>
      <c r="D52" s="9">
        <v>10</v>
      </c>
      <c r="E52" s="32"/>
      <c r="F52" s="56">
        <v>1</v>
      </c>
      <c r="G52" s="9" t="s">
        <v>5383</v>
      </c>
      <c r="H52" t="s">
        <v>900</v>
      </c>
    </row>
    <row r="53" spans="1:8" x14ac:dyDescent="0.25">
      <c r="A53" s="76" t="s">
        <v>3870</v>
      </c>
      <c r="B53" s="55" t="s">
        <v>5</v>
      </c>
      <c r="C53" s="55" t="s">
        <v>3871</v>
      </c>
      <c r="D53" s="9">
        <v>10</v>
      </c>
      <c r="E53" s="32"/>
      <c r="F53" s="56">
        <v>1</v>
      </c>
      <c r="G53" s="9" t="s">
        <v>5383</v>
      </c>
      <c r="H53" t="s">
        <v>2225</v>
      </c>
    </row>
    <row r="54" spans="1:9" x14ac:dyDescent="0.25">
      <c r="A54" s="76" t="s">
        <v>3161</v>
      </c>
      <c r="B54" s="6" t="s">
        <v>3019</v>
      </c>
      <c r="C54" s="6" t="s">
        <v>3162</v>
      </c>
      <c r="D54" s="9">
        <v>4</v>
      </c>
      <c r="E54" s="32"/>
      <c r="F54" s="56">
        <v>2</v>
      </c>
      <c r="G54" s="9" t="s">
        <v>3157</v>
      </c>
      <c r="H54" t="s">
        <v>692</v>
      </c>
      <c r="I54" t="s">
        <v>3873</v>
      </c>
    </row>
    <row r="55" spans="1:9" x14ac:dyDescent="0.25">
      <c r="A55" s="76" t="s">
        <v>3163</v>
      </c>
      <c r="B55" s="6" t="s">
        <v>3019</v>
      </c>
      <c r="C55" s="6" t="s">
        <v>3164</v>
      </c>
      <c r="D55" s="9">
        <v>4</v>
      </c>
      <c r="E55" s="32"/>
      <c r="F55" s="56">
        <v>2</v>
      </c>
      <c r="G55" s="9" t="s">
        <v>1401</v>
      </c>
      <c r="H55" t="s">
        <v>1915</v>
      </c>
      <c r="I55" t="s">
        <v>856</v>
      </c>
    </row>
    <row r="56" spans="1:8" x14ac:dyDescent="0.25">
      <c r="A56" s="76" t="s">
        <v>3875</v>
      </c>
      <c r="B56" s="55" t="s">
        <v>5</v>
      </c>
      <c r="C56" s="6" t="s">
        <v>3876</v>
      </c>
      <c r="D56" s="9">
        <v>8</v>
      </c>
      <c r="E56" s="10"/>
      <c r="F56" s="100">
        <v>0</v>
      </c>
      <c r="G56" s="9" t="s">
        <v>1058</v>
      </c>
      <c r="H56" t="s">
        <v>3877</v>
      </c>
    </row>
    <row r="57" spans="1:7" x14ac:dyDescent="0.25">
      <c r="A57" s="76" t="s">
        <v>3880</v>
      </c>
      <c r="B57" s="55" t="s">
        <v>5</v>
      </c>
      <c r="C57" s="6" t="s">
        <v>3881</v>
      </c>
      <c r="D57" s="9">
        <v>8</v>
      </c>
      <c r="E57" s="10"/>
      <c r="F57" s="56">
        <v>3</v>
      </c>
      <c r="G57" s="9" t="s">
        <v>5397</v>
      </c>
    </row>
    <row r="58" spans="1:8" x14ac:dyDescent="0.25">
      <c r="A58" s="6" t="s">
        <v>3165</v>
      </c>
      <c r="B58" s="6"/>
      <c r="C58" s="6" t="s">
        <v>3166</v>
      </c>
      <c r="D58" s="9">
        <v>10</v>
      </c>
      <c r="E58" s="26"/>
      <c r="F58" s="56">
        <v>2</v>
      </c>
      <c r="G58" s="9" t="s">
        <v>5398</v>
      </c>
      <c r="H58" t="s">
        <v>1131</v>
      </c>
    </row>
    <row r="59" spans="1:15" x14ac:dyDescent="0.25">
      <c r="A59" s="6" t="s">
        <v>3167</v>
      </c>
      <c r="B59" s="6"/>
      <c r="C59" s="6" t="s">
        <v>3168</v>
      </c>
      <c r="D59" s="9">
        <v>10</v>
      </c>
      <c r="E59" s="26"/>
      <c r="F59" s="56">
        <v>2</v>
      </c>
      <c r="G59" s="9" t="s">
        <v>5398</v>
      </c>
      <c r="H59" t="s">
        <v>3904</v>
      </c>
      <c r="O59" t="s">
        <v>3905</v>
      </c>
    </row>
    <row r="60" spans="1:7" x14ac:dyDescent="0.25">
      <c r="A60" s="76" t="s">
        <v>3907</v>
      </c>
      <c r="B60" s="6"/>
      <c r="C60" s="6" t="s">
        <v>3908</v>
      </c>
      <c r="D60" s="56"/>
      <c r="E60" s="26"/>
      <c r="F60" s="100"/>
      <c r="G60" s="100"/>
    </row>
    <row r="61" spans="1:8" x14ac:dyDescent="0.25">
      <c r="A61" s="76" t="s">
        <v>3170</v>
      </c>
      <c r="B61" s="55"/>
      <c r="C61" s="6" t="s">
        <v>3171</v>
      </c>
      <c r="D61" s="9">
        <v>10</v>
      </c>
      <c r="E61" s="32"/>
      <c r="F61" s="56">
        <v>3</v>
      </c>
      <c r="G61" s="9" t="s">
        <v>5399</v>
      </c>
      <c r="H61" t="s">
        <v>3173</v>
      </c>
    </row>
    <row r="62" spans="1:9" x14ac:dyDescent="0.25">
      <c r="A62" s="76" t="s">
        <v>3174</v>
      </c>
      <c r="B62" s="55"/>
      <c r="C62" s="6" t="s">
        <v>3175</v>
      </c>
      <c r="D62" s="9">
        <v>10</v>
      </c>
      <c r="E62" s="10"/>
      <c r="F62" s="56">
        <v>4</v>
      </c>
      <c r="G62" s="9" t="s">
        <v>5398</v>
      </c>
      <c r="H62" t="s">
        <v>3176</v>
      </c>
      <c r="I62" t="s">
        <v>3917</v>
      </c>
    </row>
    <row r="63" spans="1:9" x14ac:dyDescent="0.25">
      <c r="A63" s="76" t="s">
        <v>3177</v>
      </c>
      <c r="B63" s="55"/>
      <c r="C63" s="6" t="s">
        <v>3178</v>
      </c>
      <c r="D63" s="9">
        <v>10</v>
      </c>
      <c r="E63" s="10"/>
      <c r="F63" s="100">
        <v>0</v>
      </c>
      <c r="G63" s="9" t="s">
        <v>5398</v>
      </c>
      <c r="H63" t="s">
        <v>900</v>
      </c>
      <c r="I63" t="s">
        <v>3917</v>
      </c>
    </row>
    <row r="64" spans="1:9" x14ac:dyDescent="0.25">
      <c r="A64" s="76" t="s">
        <v>3179</v>
      </c>
      <c r="B64" s="55" t="s">
        <v>3019</v>
      </c>
      <c r="C64" s="6" t="s">
        <v>3930</v>
      </c>
      <c r="D64" s="9">
        <v>5</v>
      </c>
      <c r="E64" s="10"/>
      <c r="F64" s="56">
        <v>2</v>
      </c>
      <c r="G64" s="9" t="s">
        <v>5396</v>
      </c>
      <c r="H64" t="s">
        <v>3816</v>
      </c>
      <c r="I64" t="s">
        <v>900</v>
      </c>
    </row>
    <row r="65" spans="1:7" x14ac:dyDescent="0.25">
      <c r="A65" s="76" t="s">
        <v>3932</v>
      </c>
      <c r="B65" s="55" t="s">
        <v>3019</v>
      </c>
      <c r="C65" s="6" t="s">
        <v>3933</v>
      </c>
      <c r="D65" s="9">
        <v>5</v>
      </c>
      <c r="E65" s="10"/>
      <c r="F65" s="56">
        <v>5</v>
      </c>
      <c r="G65" s="9" t="s">
        <v>5396</v>
      </c>
    </row>
    <row r="66" spans="1:9" x14ac:dyDescent="0.25">
      <c r="A66" s="6" t="s">
        <v>3182</v>
      </c>
      <c r="B66" s="6"/>
      <c r="C66" s="6" t="s">
        <v>3183</v>
      </c>
      <c r="D66" s="9">
        <v>20</v>
      </c>
      <c r="E66" s="6"/>
      <c r="F66" s="56">
        <v>7</v>
      </c>
      <c r="G66" s="9" t="s">
        <v>5400</v>
      </c>
      <c r="H66" t="s">
        <v>125</v>
      </c>
      <c r="I66" t="s">
        <v>125</v>
      </c>
    </row>
    <row r="67" spans="1:9" x14ac:dyDescent="0.25">
      <c r="A67" s="6" t="s">
        <v>3184</v>
      </c>
      <c r="B67" s="6"/>
      <c r="C67" s="6" t="s">
        <v>3185</v>
      </c>
      <c r="D67" s="9">
        <v>20</v>
      </c>
      <c r="E67" s="6"/>
      <c r="F67" s="56">
        <v>2</v>
      </c>
      <c r="G67" s="9" t="s">
        <v>5400</v>
      </c>
      <c r="H67" t="s">
        <v>106</v>
      </c>
      <c r="I67" t="s">
        <v>2119</v>
      </c>
    </row>
    <row r="68" spans="1:9" x14ac:dyDescent="0.25">
      <c r="A68" s="6" t="s">
        <v>3186</v>
      </c>
      <c r="B68" s="6"/>
      <c r="C68" s="6" t="s">
        <v>3187</v>
      </c>
      <c r="D68" s="9">
        <v>20</v>
      </c>
      <c r="E68" s="6"/>
      <c r="F68" s="56">
        <v>5</v>
      </c>
      <c r="G68" s="9" t="s">
        <v>5384</v>
      </c>
      <c r="H68" t="s">
        <v>2886</v>
      </c>
      <c r="I68" t="s">
        <v>3945</v>
      </c>
    </row>
    <row r="69" spans="1:8" x14ac:dyDescent="0.25">
      <c r="A69" s="6" t="s">
        <v>3188</v>
      </c>
      <c r="B69" s="6"/>
      <c r="C69" s="6" t="s">
        <v>3189</v>
      </c>
      <c r="D69" s="9">
        <v>20</v>
      </c>
      <c r="E69" s="6"/>
      <c r="F69" s="9">
        <v>1</v>
      </c>
      <c r="G69" s="9" t="s">
        <v>3085</v>
      </c>
      <c r="H69" t="s">
        <v>106</v>
      </c>
    </row>
    <row r="70" spans="1:8" x14ac:dyDescent="0.25">
      <c r="A70" s="6" t="s">
        <v>3190</v>
      </c>
      <c r="B70" s="6"/>
      <c r="C70" s="6" t="s">
        <v>3191</v>
      </c>
      <c r="D70" s="9">
        <v>20</v>
      </c>
      <c r="E70" s="6"/>
      <c r="F70" s="9">
        <v>4</v>
      </c>
      <c r="G70" s="9" t="s">
        <v>5401</v>
      </c>
      <c r="H70" t="s">
        <v>3952</v>
      </c>
    </row>
    <row r="71" spans="1:7" x14ac:dyDescent="0.25">
      <c r="A71" s="6" t="s">
        <v>3192</v>
      </c>
      <c r="B71" s="6"/>
      <c r="C71" s="6" t="s">
        <v>3193</v>
      </c>
      <c r="D71" s="9">
        <v>20</v>
      </c>
      <c r="E71" s="6"/>
      <c r="F71" s="9">
        <v>2</v>
      </c>
      <c r="G71" s="9" t="s">
        <v>3124</v>
      </c>
    </row>
    <row r="72" spans="1:9" x14ac:dyDescent="0.25">
      <c r="A72" s="6" t="s">
        <v>3194</v>
      </c>
      <c r="B72" s="6" t="s">
        <v>3019</v>
      </c>
      <c r="C72" s="6" t="s">
        <v>3195</v>
      </c>
      <c r="D72" s="9">
        <v>8</v>
      </c>
      <c r="E72" s="6"/>
      <c r="F72" s="9">
        <v>3</v>
      </c>
      <c r="G72" s="9" t="s">
        <v>3196</v>
      </c>
      <c r="H72" t="s">
        <v>228</v>
      </c>
      <c r="I72" t="s">
        <v>3956</v>
      </c>
    </row>
    <row r="73" spans="1:11" x14ac:dyDescent="0.25">
      <c r="A73" s="6" t="s">
        <v>3197</v>
      </c>
      <c r="B73" s="6" t="s">
        <v>3019</v>
      </c>
      <c r="C73" s="6" t="s">
        <v>3198</v>
      </c>
      <c r="D73" s="9">
        <v>8</v>
      </c>
      <c r="E73" s="6"/>
      <c r="F73" s="9">
        <v>3</v>
      </c>
      <c r="G73" s="9" t="s">
        <v>3196</v>
      </c>
      <c r="H73" t="s">
        <v>3959</v>
      </c>
      <c r="K73" t="s">
        <v>1161</v>
      </c>
    </row>
    <row r="74" spans="1:9" x14ac:dyDescent="0.25">
      <c r="A74" s="6" t="s">
        <v>3199</v>
      </c>
      <c r="B74" s="6" t="s">
        <v>3019</v>
      </c>
      <c r="C74" s="6" t="s">
        <v>3200</v>
      </c>
      <c r="D74" s="9">
        <v>5</v>
      </c>
      <c r="E74" s="6"/>
      <c r="F74" s="100">
        <v>0</v>
      </c>
      <c r="G74" s="9" t="s">
        <v>3201</v>
      </c>
      <c r="H74" t="s">
        <v>666</v>
      </c>
      <c r="I74" t="s">
        <v>1512</v>
      </c>
    </row>
    <row r="75" spans="1:9" x14ac:dyDescent="0.25">
      <c r="A75" s="6" t="s">
        <v>3202</v>
      </c>
      <c r="B75" s="6" t="s">
        <v>3019</v>
      </c>
      <c r="C75" s="6" t="s">
        <v>3203</v>
      </c>
      <c r="D75" s="9">
        <v>5</v>
      </c>
      <c r="E75" s="6"/>
      <c r="F75" s="9">
        <v>1</v>
      </c>
      <c r="G75" s="9" t="s">
        <v>3201</v>
      </c>
      <c r="H75" t="s">
        <v>1824</v>
      </c>
      <c r="I75" t="s">
        <v>3962</v>
      </c>
    </row>
    <row r="76" spans="1:7" x14ac:dyDescent="0.25">
      <c r="A76" s="6"/>
      <c r="B76" s="6"/>
      <c r="C76" s="6"/>
      <c r="D76" s="9"/>
      <c r="E76" s="6"/>
      <c r="F76" s="9"/>
      <c r="G76" s="9"/>
    </row>
    <row r="77" spans="1:7" x14ac:dyDescent="0.25">
      <c r="A77" s="6"/>
      <c r="B77" s="6"/>
      <c r="C77" s="6"/>
      <c r="D77" s="9"/>
      <c r="E77" s="6"/>
      <c r="F77" s="9"/>
      <c r="G77" s="9"/>
    </row>
    <row r="78" spans="1:7" x14ac:dyDescent="0.25">
      <c r="A78" s="6"/>
      <c r="B78" s="6"/>
      <c r="C78" s="6"/>
      <c r="D78" s="9"/>
      <c r="E78" s="6"/>
      <c r="F78" s="9"/>
      <c r="G78" s="9"/>
    </row>
    <row r="79" spans="1:7" x14ac:dyDescent="0.25">
      <c r="A79" s="6"/>
      <c r="B79" s="6"/>
      <c r="C79" s="6"/>
      <c r="D79" s="9"/>
      <c r="E79" s="6"/>
      <c r="F79" s="9"/>
      <c r="G79" s="9"/>
    </row>
    <row r="80" spans="1:7" x14ac:dyDescent="0.25">
      <c r="A80" s="6"/>
      <c r="B80" s="6"/>
      <c r="C80" s="6"/>
      <c r="D80" s="9"/>
      <c r="E80" s="6"/>
      <c r="F80" s="9"/>
      <c r="G80" s="9"/>
    </row>
    <row r="81" spans="1:7" x14ac:dyDescent="0.25">
      <c r="A81" s="6"/>
      <c r="B81" s="6"/>
      <c r="C81" s="6"/>
      <c r="D81" s="9"/>
      <c r="E81" s="6"/>
      <c r="F81" s="9"/>
      <c r="G81" s="9"/>
    </row>
    <row r="82" spans="1:7" x14ac:dyDescent="0.25">
      <c r="A82" s="6"/>
      <c r="B82" s="6"/>
      <c r="C82" s="6"/>
      <c r="D82" s="9"/>
      <c r="E82" s="6"/>
      <c r="F82" s="9"/>
      <c r="G82" s="9"/>
    </row>
    <row r="83" spans="1:7" x14ac:dyDescent="0.25">
      <c r="A83" s="6"/>
      <c r="B83" s="6"/>
      <c r="C83" s="6"/>
      <c r="D83" s="9"/>
      <c r="E83" s="6"/>
      <c r="F83" s="9"/>
      <c r="G83" s="9"/>
    </row>
    <row r="84" spans="1:7" x14ac:dyDescent="0.25">
      <c r="A84" s="6"/>
      <c r="B84" s="6"/>
      <c r="C84" s="6"/>
      <c r="D84" s="9"/>
      <c r="E84" s="6"/>
      <c r="F84" s="9"/>
      <c r="G84" s="9"/>
    </row>
    <row r="85" spans="1:7" x14ac:dyDescent="0.25">
      <c r="A85" s="6"/>
      <c r="B85" s="6"/>
      <c r="C85" s="6"/>
      <c r="D85" s="9"/>
      <c r="E85" s="6"/>
      <c r="F85" s="9"/>
      <c r="G85" s="9"/>
    </row>
    <row r="86" spans="1:7" x14ac:dyDescent="0.25">
      <c r="A86" s="6"/>
      <c r="B86" s="6"/>
      <c r="C86" s="6"/>
      <c r="D86" s="9"/>
      <c r="E86" s="6"/>
      <c r="F86" s="9"/>
      <c r="G86" s="9"/>
    </row>
    <row r="87" spans="1:7" x14ac:dyDescent="0.25">
      <c r="A87" s="6"/>
      <c r="B87" s="6"/>
      <c r="C87" s="6"/>
      <c r="D87" s="9"/>
      <c r="E87" s="6"/>
      <c r="F87" s="9"/>
      <c r="G87" s="9"/>
    </row>
    <row r="88" spans="1:7" x14ac:dyDescent="0.25">
      <c r="A88" s="6"/>
      <c r="B88" s="6"/>
      <c r="C88" s="6"/>
      <c r="D88" s="9"/>
      <c r="E88" s="6"/>
      <c r="F88" s="9"/>
      <c r="G88" s="9"/>
    </row>
    <row r="89" spans="1:7" x14ac:dyDescent="0.25">
      <c r="A89" s="6"/>
      <c r="B89" s="6"/>
      <c r="C89" s="6"/>
      <c r="D89" s="9"/>
      <c r="E89" s="6"/>
      <c r="F89" s="9"/>
      <c r="G89" s="9"/>
    </row>
  </sheetData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59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0"/>
  <sheetViews>
    <sheetView workbookViewId="0" zoomScale="83" zoomScaleNormal="83">
      <selection activeCell="N52" sqref="N52"/>
    </sheetView>
  </sheetViews>
  <sheetFormatPr defaultRowHeight="15" outlineLevelRow="0" outlineLevelCol="0" x14ac:dyDescent="0"/>
  <cols>
    <col min="2" max="2" width="4.5703125" customWidth="1"/>
    <col min="3" max="3" width="3.7109375" style="1" hidden="1" customWidth="1"/>
    <col min="4" max="4" width="3.5703125" customWidth="1"/>
    <col min="5" max="5" width="5.5703125" customWidth="1"/>
    <col min="6" max="6" width="3.5703125" style="2" customWidth="1"/>
    <col min="7" max="7" width="29" customWidth="1"/>
    <col min="8" max="8" width="1.5703125" customWidth="1"/>
    <col min="9" max="9" width="10.42578125" customWidth="1"/>
    <col min="10" max="10" width="3.42578125" customWidth="1"/>
    <col min="11" max="11" width="7.7109375" customWidth="1"/>
    <col min="12" max="12" width="5.5703125" style="3" customWidth="1"/>
    <col min="13" max="14" width="5.42578125" customWidth="1"/>
    <col min="15" max="15" width="4.7109375" customWidth="1"/>
    <col min="16" max="16" width="5.28515625" customWidth="1"/>
    <col min="17" max="19" width="4.5703125" customWidth="1"/>
    <col min="20" max="20" width="5.42578125" customWidth="1"/>
    <col min="21" max="21" width="5.42578125" style="4" customWidth="1"/>
    <col min="22" max="38" width="9.140625" style="4" customWidth="1"/>
  </cols>
  <sheetData>
    <row r="1" ht="38.25" customHeight="1" spans="2:18" x14ac:dyDescent="0.25">
      <c r="B1">
        <v>0</v>
      </c>
      <c r="F1" s="2" t="s">
        <v>0</v>
      </c>
      <c r="G1" s="5" t="s">
        <v>1</v>
      </c>
      <c r="R1" t="s">
        <v>2</v>
      </c>
    </row>
    <row r="2" spans="2:20" x14ac:dyDescent="0.25">
      <c r="B2" s="6"/>
      <c r="C2" s="7"/>
      <c r="D2" s="6"/>
      <c r="E2" s="6"/>
      <c r="F2" s="8"/>
      <c r="G2" s="6"/>
      <c r="H2" s="9">
        <v>10</v>
      </c>
      <c r="I2" s="10"/>
      <c r="J2" s="11"/>
      <c r="K2" s="12"/>
      <c r="L2" s="8"/>
      <c r="M2" s="13"/>
      <c r="N2" s="6"/>
      <c r="O2" s="6"/>
      <c r="P2" s="6"/>
      <c r="Q2" s="6"/>
      <c r="R2" s="6"/>
      <c r="S2" s="6"/>
      <c r="T2" s="6"/>
    </row>
    <row r="3" spans="1:20" x14ac:dyDescent="0.25">
      <c r="A3" t="s">
        <v>3</v>
      </c>
      <c r="B3" s="6" t="s">
        <v>4</v>
      </c>
      <c r="C3" s="7"/>
      <c r="D3" s="6" t="s">
        <v>5</v>
      </c>
      <c r="E3" s="6" t="s">
        <v>6</v>
      </c>
      <c r="F3" s="8"/>
      <c r="G3" s="6" t="s">
        <v>7</v>
      </c>
      <c r="H3" s="9">
        <v>10</v>
      </c>
      <c r="I3" s="10"/>
      <c r="J3" s="11">
        <v>7</v>
      </c>
      <c r="K3" s="12" t="s">
        <v>8</v>
      </c>
      <c r="L3" s="8" t="s">
        <v>9</v>
      </c>
      <c r="M3" s="13" t="s">
        <v>9</v>
      </c>
      <c r="N3" s="6" t="s">
        <v>10</v>
      </c>
      <c r="O3" s="6" t="s">
        <v>11</v>
      </c>
      <c r="P3" s="6"/>
      <c r="Q3" s="6"/>
      <c r="R3" s="6"/>
      <c r="S3" s="6"/>
      <c r="T3" s="6"/>
    </row>
    <row r="4" spans="2:20" s="14" customFormat="1" x14ac:dyDescent="0.25">
      <c r="B4" s="6" t="s">
        <v>12</v>
      </c>
      <c r="C4" s="7"/>
      <c r="D4" s="6" t="s">
        <v>5</v>
      </c>
      <c r="E4" s="6" t="s">
        <v>6</v>
      </c>
      <c r="F4" s="8"/>
      <c r="G4" s="6" t="s">
        <v>13</v>
      </c>
      <c r="H4" s="9">
        <v>10</v>
      </c>
      <c r="I4" s="10"/>
      <c r="J4" s="15">
        <v>0</v>
      </c>
      <c r="K4" s="12" t="s">
        <v>14</v>
      </c>
      <c r="L4" s="8" t="s">
        <v>15</v>
      </c>
      <c r="M4" s="13" t="s">
        <v>16</v>
      </c>
      <c r="N4" s="6"/>
      <c r="O4" s="6"/>
      <c r="P4" s="6"/>
      <c r="Q4" s="6"/>
      <c r="R4" s="6"/>
      <c r="S4" s="6"/>
      <c r="T4" s="6"/>
    </row>
    <row r="5" spans="1:20" x14ac:dyDescent="0.25">
      <c r="A5" t="s">
        <v>17</v>
      </c>
      <c r="B5" s="6" t="s">
        <v>18</v>
      </c>
      <c r="C5" s="7"/>
      <c r="D5" s="6" t="s">
        <v>5</v>
      </c>
      <c r="E5" s="6" t="s">
        <v>6</v>
      </c>
      <c r="F5" s="8"/>
      <c r="G5" s="6" t="s">
        <v>19</v>
      </c>
      <c r="H5" s="9">
        <v>10</v>
      </c>
      <c r="I5" s="10"/>
      <c r="J5" s="11">
        <v>5</v>
      </c>
      <c r="K5" s="12" t="s">
        <v>20</v>
      </c>
      <c r="L5" s="8" t="s">
        <v>21</v>
      </c>
      <c r="M5" s="13" t="s">
        <v>22</v>
      </c>
      <c r="N5" s="6" t="s">
        <v>23</v>
      </c>
      <c r="O5" s="6" t="s">
        <v>24</v>
      </c>
      <c r="P5" s="6" t="s">
        <v>25</v>
      </c>
      <c r="Q5" s="6" t="s">
        <v>26</v>
      </c>
      <c r="R5" s="6"/>
      <c r="S5" s="6"/>
      <c r="T5" s="6"/>
    </row>
    <row r="6" spans="1:20" s="14" customFormat="1" x14ac:dyDescent="0.25">
      <c r="A6" s="16" t="s">
        <v>27</v>
      </c>
      <c r="B6" s="17" t="s">
        <v>28</v>
      </c>
      <c r="C6" s="18"/>
      <c r="D6" s="19" t="s">
        <v>29</v>
      </c>
      <c r="E6" s="20" t="s">
        <v>30</v>
      </c>
      <c r="F6" s="21"/>
      <c r="G6" s="17" t="s">
        <v>31</v>
      </c>
      <c r="H6" s="22">
        <v>20</v>
      </c>
      <c r="I6" s="23"/>
      <c r="J6" s="15">
        <v>0</v>
      </c>
      <c r="K6" s="24" t="s">
        <v>32</v>
      </c>
      <c r="L6" s="25" t="s">
        <v>33</v>
      </c>
      <c r="M6" s="19" t="s">
        <v>34</v>
      </c>
      <c r="N6" s="17" t="s">
        <v>35</v>
      </c>
      <c r="O6" s="17" t="s">
        <v>36</v>
      </c>
      <c r="P6" s="17"/>
      <c r="Q6" s="17"/>
      <c r="R6" s="17"/>
      <c r="S6" s="17"/>
      <c r="T6" s="17"/>
    </row>
    <row r="7" spans="1:20" x14ac:dyDescent="0.25">
      <c r="A7" t="s">
        <v>37</v>
      </c>
      <c r="B7" s="26" t="s">
        <v>38</v>
      </c>
      <c r="C7" s="27">
        <v>8.2</v>
      </c>
      <c r="D7" s="28" t="s">
        <v>29</v>
      </c>
      <c r="E7" s="29" t="s">
        <v>30</v>
      </c>
      <c r="F7" s="30" t="s">
        <v>39</v>
      </c>
      <c r="G7" s="26" t="s">
        <v>40</v>
      </c>
      <c r="H7" s="31">
        <v>20</v>
      </c>
      <c r="I7" s="32"/>
      <c r="J7" s="11">
        <v>2</v>
      </c>
      <c r="K7" s="12" t="s">
        <v>41</v>
      </c>
      <c r="L7" s="33"/>
      <c r="M7" s="26" t="s">
        <v>42</v>
      </c>
      <c r="N7" s="26" t="s">
        <v>43</v>
      </c>
      <c r="O7" s="26" t="s">
        <v>44</v>
      </c>
      <c r="P7" s="26" t="s">
        <v>45</v>
      </c>
      <c r="Q7" s="26" t="s">
        <v>46</v>
      </c>
      <c r="R7" s="26" t="s">
        <v>47</v>
      </c>
      <c r="S7" s="26" t="s">
        <v>48</v>
      </c>
      <c r="T7" s="26" t="s">
        <v>49</v>
      </c>
    </row>
    <row r="8" spans="1:20" x14ac:dyDescent="0.25">
      <c r="A8" s="16"/>
      <c r="B8" s="17" t="s">
        <v>50</v>
      </c>
      <c r="C8" s="18"/>
      <c r="D8" s="19" t="s">
        <v>29</v>
      </c>
      <c r="E8" s="20" t="s">
        <v>30</v>
      </c>
      <c r="F8" s="21"/>
      <c r="G8" s="17" t="s">
        <v>51</v>
      </c>
      <c r="H8" s="22">
        <v>20</v>
      </c>
      <c r="I8" s="23"/>
      <c r="J8" s="15">
        <v>0</v>
      </c>
      <c r="K8" s="24" t="s">
        <v>52</v>
      </c>
      <c r="L8" s="25" t="s">
        <v>53</v>
      </c>
      <c r="M8" s="19" t="s">
        <v>34</v>
      </c>
      <c r="N8" s="17" t="s">
        <v>26</v>
      </c>
      <c r="O8" s="17"/>
      <c r="P8" s="17"/>
      <c r="Q8" s="17"/>
      <c r="R8" s="17"/>
      <c r="S8" s="17"/>
      <c r="T8" s="17"/>
    </row>
    <row r="9" spans="1:20" s="14" customFormat="1" x14ac:dyDescent="0.25">
      <c r="A9" s="4" t="s">
        <v>54</v>
      </c>
      <c r="B9" s="26" t="s">
        <v>55</v>
      </c>
      <c r="C9" s="27">
        <v>6.5</v>
      </c>
      <c r="D9" s="26" t="s">
        <v>56</v>
      </c>
      <c r="E9" s="26" t="s">
        <v>57</v>
      </c>
      <c r="F9" s="33"/>
      <c r="G9" s="26" t="s">
        <v>58</v>
      </c>
      <c r="H9" s="31">
        <v>20</v>
      </c>
      <c r="I9" s="32"/>
      <c r="J9" s="11">
        <v>4</v>
      </c>
      <c r="K9" s="34" t="s">
        <v>59</v>
      </c>
      <c r="L9" s="33" t="s">
        <v>60</v>
      </c>
      <c r="M9" s="26"/>
      <c r="N9" s="26" t="s">
        <v>61</v>
      </c>
      <c r="O9" s="26" t="s">
        <v>62</v>
      </c>
      <c r="P9" s="26" t="s">
        <v>63</v>
      </c>
      <c r="Q9" s="26" t="s">
        <v>64</v>
      </c>
      <c r="R9" s="26" t="s">
        <v>65</v>
      </c>
      <c r="S9" s="26" t="s">
        <v>66</v>
      </c>
      <c r="T9" s="26" t="s">
        <v>11</v>
      </c>
    </row>
    <row r="10" spans="1:20" x14ac:dyDescent="0.25">
      <c r="A10" t="s">
        <v>67</v>
      </c>
      <c r="B10" s="26" t="s">
        <v>68</v>
      </c>
      <c r="C10" s="27"/>
      <c r="D10" s="26" t="s">
        <v>56</v>
      </c>
      <c r="E10" s="26" t="s">
        <v>57</v>
      </c>
      <c r="F10" s="33"/>
      <c r="G10" s="26" t="s">
        <v>69</v>
      </c>
      <c r="H10" s="31">
        <v>20</v>
      </c>
      <c r="I10" s="32"/>
      <c r="J10" s="15">
        <v>0</v>
      </c>
      <c r="K10" s="34" t="s">
        <v>70</v>
      </c>
      <c r="L10" s="33" t="s">
        <v>71</v>
      </c>
      <c r="M10" s="26" t="s">
        <v>72</v>
      </c>
      <c r="N10" s="26" t="s">
        <v>73</v>
      </c>
      <c r="O10" s="26" t="s">
        <v>74</v>
      </c>
      <c r="P10" s="26" t="s">
        <v>75</v>
      </c>
      <c r="Q10" s="26" t="s">
        <v>76</v>
      </c>
      <c r="R10" s="26"/>
      <c r="S10" s="26"/>
      <c r="T10" s="26"/>
    </row>
    <row r="11" spans="1:20" x14ac:dyDescent="0.25">
      <c r="A11" t="s">
        <v>77</v>
      </c>
      <c r="B11" s="26" t="s">
        <v>78</v>
      </c>
      <c r="C11" s="27">
        <v>6</v>
      </c>
      <c r="D11" s="26" t="s">
        <v>56</v>
      </c>
      <c r="E11" s="26" t="s">
        <v>57</v>
      </c>
      <c r="F11" s="33"/>
      <c r="G11" s="26" t="s">
        <v>79</v>
      </c>
      <c r="H11" s="31">
        <v>10</v>
      </c>
      <c r="I11" s="32">
        <v>12</v>
      </c>
      <c r="J11" s="11">
        <v>16</v>
      </c>
      <c r="K11" s="34" t="s">
        <v>80</v>
      </c>
      <c r="L11" s="33" t="s">
        <v>81</v>
      </c>
      <c r="M11" s="26" t="s">
        <v>82</v>
      </c>
      <c r="N11" s="26" t="s">
        <v>83</v>
      </c>
      <c r="O11" s="26" t="s">
        <v>84</v>
      </c>
      <c r="P11" s="26"/>
      <c r="Q11" s="26" t="s">
        <v>85</v>
      </c>
      <c r="R11" s="26" t="s">
        <v>86</v>
      </c>
      <c r="S11" s="26" t="s">
        <v>87</v>
      </c>
      <c r="T11" s="26" t="s">
        <v>88</v>
      </c>
    </row>
    <row r="12" spans="1:20" x14ac:dyDescent="0.25">
      <c r="A12" t="s">
        <v>89</v>
      </c>
      <c r="B12" s="26" t="s">
        <v>90</v>
      </c>
      <c r="C12" s="27"/>
      <c r="D12" s="26" t="s">
        <v>56</v>
      </c>
      <c r="E12" s="26" t="s">
        <v>57</v>
      </c>
      <c r="F12" s="33"/>
      <c r="G12" s="26" t="s">
        <v>91</v>
      </c>
      <c r="H12" s="31">
        <v>20</v>
      </c>
      <c r="I12" s="32"/>
      <c r="J12" s="11">
        <v>1</v>
      </c>
      <c r="K12" s="12" t="s">
        <v>92</v>
      </c>
      <c r="L12" s="33" t="s">
        <v>93</v>
      </c>
      <c r="M12" s="26" t="s">
        <v>94</v>
      </c>
      <c r="N12" s="26" t="s">
        <v>95</v>
      </c>
      <c r="O12" s="26" t="s">
        <v>96</v>
      </c>
      <c r="P12" s="26"/>
      <c r="Q12" s="26"/>
      <c r="R12" s="26"/>
      <c r="S12" s="26"/>
      <c r="T12" s="26"/>
    </row>
    <row r="13" spans="1:20" x14ac:dyDescent="0.25">
      <c r="A13" t="s">
        <v>97</v>
      </c>
      <c r="B13" s="26" t="s">
        <v>98</v>
      </c>
      <c r="C13" s="27"/>
      <c r="D13" s="26" t="s">
        <v>56</v>
      </c>
      <c r="E13" s="26" t="s">
        <v>57</v>
      </c>
      <c r="F13" s="33"/>
      <c r="G13" s="26" t="s">
        <v>99</v>
      </c>
      <c r="H13" s="31">
        <v>20</v>
      </c>
      <c r="I13" s="32"/>
      <c r="J13" s="11">
        <v>3</v>
      </c>
      <c r="K13" s="12" t="s">
        <v>100</v>
      </c>
      <c r="L13" s="33" t="s">
        <v>101</v>
      </c>
      <c r="M13" s="26" t="s">
        <v>102</v>
      </c>
      <c r="N13" s="26"/>
      <c r="O13" s="26"/>
      <c r="P13" s="26"/>
      <c r="Q13" s="26"/>
      <c r="R13" s="26"/>
      <c r="S13" s="26"/>
      <c r="T13" s="26"/>
    </row>
    <row r="14" spans="2:20" x14ac:dyDescent="0.25">
      <c r="B14" s="26" t="s">
        <v>103</v>
      </c>
      <c r="C14" s="27"/>
      <c r="D14" s="26" t="s">
        <v>56</v>
      </c>
      <c r="E14" s="26" t="s">
        <v>57</v>
      </c>
      <c r="F14" s="33"/>
      <c r="G14" s="26" t="s">
        <v>104</v>
      </c>
      <c r="H14" s="31">
        <v>15</v>
      </c>
      <c r="I14" s="32"/>
      <c r="J14" s="11">
        <v>0</v>
      </c>
      <c r="K14" s="12"/>
      <c r="L14" s="33" t="s">
        <v>105</v>
      </c>
      <c r="M14" s="26" t="s">
        <v>106</v>
      </c>
      <c r="N14" s="26" t="s">
        <v>107</v>
      </c>
      <c r="O14" s="26" t="s">
        <v>108</v>
      </c>
      <c r="P14" s="26" t="s">
        <v>109</v>
      </c>
      <c r="Q14" s="26" t="s">
        <v>110</v>
      </c>
      <c r="R14" s="26" t="s">
        <v>111</v>
      </c>
      <c r="S14" s="26" t="s">
        <v>112</v>
      </c>
      <c r="T14" s="26"/>
    </row>
    <row r="15" spans="2:20" x14ac:dyDescent="0.25">
      <c r="B15" s="26" t="s">
        <v>113</v>
      </c>
      <c r="C15" s="27"/>
      <c r="D15" s="26" t="s">
        <v>56</v>
      </c>
      <c r="E15" s="26" t="s">
        <v>57</v>
      </c>
      <c r="F15" s="33"/>
      <c r="G15" s="26" t="s">
        <v>114</v>
      </c>
      <c r="H15" s="31">
        <v>15</v>
      </c>
      <c r="I15" s="23"/>
      <c r="J15" s="15">
        <v>0</v>
      </c>
      <c r="K15" s="12" t="s">
        <v>115</v>
      </c>
      <c r="L15" s="33" t="s">
        <v>116</v>
      </c>
      <c r="M15" s="26" t="s">
        <v>117</v>
      </c>
      <c r="N15" s="26" t="s">
        <v>110</v>
      </c>
      <c r="O15" s="26" t="s">
        <v>118</v>
      </c>
      <c r="P15" s="26" t="s">
        <v>96</v>
      </c>
      <c r="Q15" s="26" t="s">
        <v>119</v>
      </c>
      <c r="R15" s="26" t="s">
        <v>120</v>
      </c>
      <c r="S15" s="26" t="s">
        <v>121</v>
      </c>
      <c r="T15" s="26"/>
    </row>
    <row r="16" spans="1:20" x14ac:dyDescent="0.25">
      <c r="A16" s="4" t="s">
        <v>122</v>
      </c>
      <c r="B16" s="26" t="s">
        <v>123</v>
      </c>
      <c r="C16" s="27"/>
      <c r="D16" s="26" t="s">
        <v>56</v>
      </c>
      <c r="E16" s="26" t="s">
        <v>57</v>
      </c>
      <c r="F16" s="33"/>
      <c r="G16" s="26" t="s">
        <v>124</v>
      </c>
      <c r="H16" s="31">
        <v>15</v>
      </c>
      <c r="I16" s="32"/>
      <c r="J16" s="11">
        <v>2</v>
      </c>
      <c r="K16" s="12"/>
      <c r="L16" s="33" t="s">
        <v>106</v>
      </c>
      <c r="M16" s="26" t="s">
        <v>125</v>
      </c>
      <c r="N16" s="26" t="s">
        <v>107</v>
      </c>
      <c r="O16" s="26" t="s">
        <v>126</v>
      </c>
      <c r="P16" s="26" t="s">
        <v>117</v>
      </c>
      <c r="Q16" s="26"/>
      <c r="R16" s="26"/>
      <c r="S16" s="26"/>
      <c r="T16" s="26"/>
    </row>
    <row r="17" spans="1:20" x14ac:dyDescent="0.25">
      <c r="A17" s="4" t="s">
        <v>127</v>
      </c>
      <c r="B17" s="26" t="s">
        <v>128</v>
      </c>
      <c r="C17" s="27">
        <v>8.1</v>
      </c>
      <c r="D17" s="26" t="s">
        <v>56</v>
      </c>
      <c r="E17" s="26" t="s">
        <v>57</v>
      </c>
      <c r="F17" s="33"/>
      <c r="G17" s="26" t="s">
        <v>129</v>
      </c>
      <c r="H17" s="31">
        <v>20</v>
      </c>
      <c r="I17" s="32"/>
      <c r="J17" s="11">
        <v>5</v>
      </c>
      <c r="K17" s="12" t="s">
        <v>130</v>
      </c>
      <c r="L17" s="33"/>
      <c r="M17" s="26" t="s">
        <v>131</v>
      </c>
      <c r="N17" s="26" t="s">
        <v>132</v>
      </c>
      <c r="O17" s="26" t="s">
        <v>46</v>
      </c>
      <c r="P17" s="26" t="s">
        <v>133</v>
      </c>
      <c r="Q17" s="26" t="s">
        <v>133</v>
      </c>
      <c r="R17" s="26" t="s">
        <v>61</v>
      </c>
      <c r="S17" s="26" t="s">
        <v>134</v>
      </c>
      <c r="T17" s="26" t="s">
        <v>135</v>
      </c>
    </row>
    <row r="18" spans="2:20" x14ac:dyDescent="0.25">
      <c r="B18" s="26" t="s">
        <v>136</v>
      </c>
      <c r="C18" s="27"/>
      <c r="D18" s="26" t="s">
        <v>56</v>
      </c>
      <c r="E18" s="26" t="s">
        <v>57</v>
      </c>
      <c r="F18" s="33"/>
      <c r="G18" s="26" t="s">
        <v>137</v>
      </c>
      <c r="H18" s="31">
        <v>20</v>
      </c>
      <c r="I18" s="23"/>
      <c r="J18" s="15">
        <v>0</v>
      </c>
      <c r="K18" s="12" t="s">
        <v>138</v>
      </c>
      <c r="L18" s="33" t="s">
        <v>139</v>
      </c>
      <c r="M18" s="26" t="s">
        <v>23</v>
      </c>
      <c r="N18" s="26" t="s">
        <v>140</v>
      </c>
      <c r="O18" s="26" t="s">
        <v>141</v>
      </c>
      <c r="P18" s="26" t="s">
        <v>142</v>
      </c>
      <c r="Q18" s="26"/>
      <c r="R18" s="26"/>
      <c r="S18" s="26"/>
      <c r="T18" s="26"/>
    </row>
    <row r="19" spans="1:20" x14ac:dyDescent="0.25">
      <c r="A19" t="s">
        <v>143</v>
      </c>
      <c r="B19" s="26" t="s">
        <v>144</v>
      </c>
      <c r="C19" s="27"/>
      <c r="D19" s="26" t="s">
        <v>56</v>
      </c>
      <c r="E19" s="26" t="s">
        <v>57</v>
      </c>
      <c r="F19" s="33"/>
      <c r="G19" s="26" t="s">
        <v>145</v>
      </c>
      <c r="H19" s="31">
        <v>20</v>
      </c>
      <c r="I19" s="32"/>
      <c r="J19" s="15">
        <v>1</v>
      </c>
      <c r="K19" s="12" t="s">
        <v>146</v>
      </c>
      <c r="L19" s="33" t="s">
        <v>147</v>
      </c>
      <c r="M19" s="26" t="s">
        <v>148</v>
      </c>
      <c r="N19" s="26"/>
      <c r="O19" s="26"/>
      <c r="P19" s="26"/>
      <c r="Q19" s="26"/>
      <c r="R19" s="26"/>
      <c r="S19" s="26"/>
      <c r="T19" s="26"/>
    </row>
    <row r="20" spans="1:20" x14ac:dyDescent="0.25">
      <c r="A20" t="s">
        <v>149</v>
      </c>
      <c r="B20" s="26" t="s">
        <v>150</v>
      </c>
      <c r="C20" s="27"/>
      <c r="D20" s="26" t="s">
        <v>56</v>
      </c>
      <c r="E20" s="26" t="s">
        <v>57</v>
      </c>
      <c r="F20" s="33"/>
      <c r="G20" s="26" t="s">
        <v>151</v>
      </c>
      <c r="H20" s="31">
        <v>20</v>
      </c>
      <c r="I20" s="32"/>
      <c r="J20" s="11">
        <v>4</v>
      </c>
      <c r="K20" s="12" t="s">
        <v>152</v>
      </c>
      <c r="L20" s="33" t="s">
        <v>153</v>
      </c>
      <c r="M20" s="26"/>
      <c r="N20" s="26"/>
      <c r="O20" s="26"/>
      <c r="P20" s="26"/>
      <c r="Q20" s="4"/>
      <c r="R20" s="26"/>
      <c r="S20" s="26"/>
      <c r="T20" s="26"/>
    </row>
    <row r="21" spans="1:20" x14ac:dyDescent="0.25">
      <c r="A21" s="4" t="s">
        <v>154</v>
      </c>
      <c r="B21" s="26" t="s">
        <v>155</v>
      </c>
      <c r="C21" s="35">
        <v>12.8</v>
      </c>
      <c r="D21" s="26" t="s">
        <v>56</v>
      </c>
      <c r="E21" s="26" t="s">
        <v>57</v>
      </c>
      <c r="F21" s="33"/>
      <c r="G21" s="26" t="s">
        <v>156</v>
      </c>
      <c r="H21" s="31">
        <v>20</v>
      </c>
      <c r="I21" s="36"/>
      <c r="J21" s="37">
        <v>4</v>
      </c>
      <c r="K21" s="12" t="s">
        <v>157</v>
      </c>
      <c r="L21" s="33" t="s">
        <v>158</v>
      </c>
      <c r="M21" s="26"/>
      <c r="N21" s="26" t="s">
        <v>159</v>
      </c>
      <c r="O21" s="26" t="s">
        <v>160</v>
      </c>
      <c r="P21" s="26" t="s">
        <v>62</v>
      </c>
      <c r="Q21" s="26" t="s">
        <v>161</v>
      </c>
      <c r="R21" s="26" t="s">
        <v>162</v>
      </c>
      <c r="S21" s="26" t="s">
        <v>135</v>
      </c>
      <c r="T21" s="26" t="s">
        <v>163</v>
      </c>
    </row>
    <row r="22" spans="1:20" x14ac:dyDescent="0.25">
      <c r="A22" s="4" t="s">
        <v>164</v>
      </c>
      <c r="B22" s="26" t="s">
        <v>165</v>
      </c>
      <c r="C22" s="27">
        <v>12.8</v>
      </c>
      <c r="D22" s="26" t="s">
        <v>56</v>
      </c>
      <c r="E22" s="26" t="s">
        <v>57</v>
      </c>
      <c r="F22" s="33"/>
      <c r="G22" s="26" t="s">
        <v>166</v>
      </c>
      <c r="H22" s="31">
        <v>20</v>
      </c>
      <c r="I22" s="38" t="s">
        <v>167</v>
      </c>
      <c r="J22" s="39">
        <v>4</v>
      </c>
      <c r="K22" s="12" t="s">
        <v>168</v>
      </c>
      <c r="L22" s="33" t="s">
        <v>169</v>
      </c>
      <c r="M22" s="26" t="s">
        <v>36</v>
      </c>
      <c r="N22" s="26" t="s">
        <v>170</v>
      </c>
      <c r="O22" s="26" t="s">
        <v>171</v>
      </c>
      <c r="P22" s="26" t="s">
        <v>147</v>
      </c>
      <c r="Q22" s="26" t="s">
        <v>172</v>
      </c>
      <c r="R22" s="26"/>
      <c r="S22" s="26" t="s">
        <v>173</v>
      </c>
      <c r="T22" s="26" t="s">
        <v>174</v>
      </c>
    </row>
    <row r="23" spans="1:38" s="40" customFormat="1" x14ac:dyDescent="0.25">
      <c r="A23" s="4" t="s">
        <v>175</v>
      </c>
      <c r="B23" s="26" t="s">
        <v>176</v>
      </c>
      <c r="C23" s="27"/>
      <c r="D23" s="26" t="s">
        <v>56</v>
      </c>
      <c r="E23" s="26" t="s">
        <v>57</v>
      </c>
      <c r="F23" s="33"/>
      <c r="G23" s="26" t="s">
        <v>177</v>
      </c>
      <c r="H23" s="31">
        <v>20</v>
      </c>
      <c r="I23" s="32"/>
      <c r="J23" s="11">
        <v>123</v>
      </c>
      <c r="K23" s="12"/>
      <c r="L23" s="33" t="s">
        <v>178</v>
      </c>
      <c r="M23" s="26"/>
      <c r="N23" s="26"/>
      <c r="O23" s="26"/>
      <c r="P23" s="26"/>
      <c r="Q23" s="26"/>
      <c r="R23" s="26"/>
      <c r="S23" s="26"/>
      <c r="T23" s="26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20" s="14" customFormat="1" x14ac:dyDescent="0.25">
      <c r="A24" t="s">
        <v>179</v>
      </c>
      <c r="B24" s="26" t="s">
        <v>180</v>
      </c>
      <c r="C24" s="27"/>
      <c r="D24" s="26" t="s">
        <v>56</v>
      </c>
      <c r="E24" s="26" t="s">
        <v>57</v>
      </c>
      <c r="F24" s="33"/>
      <c r="G24" s="26" t="s">
        <v>181</v>
      </c>
      <c r="H24" s="31">
        <v>20</v>
      </c>
      <c r="I24" s="32"/>
      <c r="J24" s="11">
        <v>3</v>
      </c>
      <c r="K24" s="12" t="s">
        <v>182</v>
      </c>
      <c r="L24" s="33" t="s">
        <v>183</v>
      </c>
      <c r="M24" s="26"/>
      <c r="N24" s="26"/>
      <c r="O24" s="26"/>
      <c r="P24" s="26"/>
      <c r="Q24" s="26"/>
      <c r="R24" s="26"/>
      <c r="S24" s="26"/>
      <c r="T24" s="26"/>
    </row>
    <row r="25" spans="1:20" s="14" customFormat="1" x14ac:dyDescent="0.25">
      <c r="A25" t="s">
        <v>184</v>
      </c>
      <c r="B25" s="26" t="s">
        <v>185</v>
      </c>
      <c r="C25" s="27"/>
      <c r="D25" s="26" t="s">
        <v>56</v>
      </c>
      <c r="E25" s="26" t="s">
        <v>57</v>
      </c>
      <c r="F25" s="33"/>
      <c r="G25" s="26" t="s">
        <v>186</v>
      </c>
      <c r="H25" s="31">
        <v>25</v>
      </c>
      <c r="I25" s="32"/>
      <c r="J25" s="11">
        <v>3</v>
      </c>
      <c r="K25" s="12" t="s">
        <v>187</v>
      </c>
      <c r="L25" s="33" t="s">
        <v>188</v>
      </c>
      <c r="M25" s="26" t="s">
        <v>189</v>
      </c>
      <c r="N25" s="26" t="s">
        <v>190</v>
      </c>
      <c r="O25" s="26" t="s">
        <v>191</v>
      </c>
      <c r="P25" s="28" t="s">
        <v>192</v>
      </c>
      <c r="Q25" s="26" t="s">
        <v>193</v>
      </c>
      <c r="R25" s="26"/>
      <c r="S25" s="26"/>
      <c r="T25" s="26"/>
    </row>
    <row r="26" spans="1:20" s="14" customFormat="1" x14ac:dyDescent="0.25">
      <c r="A26" t="s">
        <v>194</v>
      </c>
      <c r="B26" s="26" t="s">
        <v>195</v>
      </c>
      <c r="C26" s="27"/>
      <c r="D26" s="26" t="s">
        <v>56</v>
      </c>
      <c r="E26" s="26" t="s">
        <v>57</v>
      </c>
      <c r="F26" s="33"/>
      <c r="G26" s="26" t="s">
        <v>196</v>
      </c>
      <c r="H26" s="31">
        <v>25</v>
      </c>
      <c r="I26" s="32"/>
      <c r="J26" s="11">
        <v>3</v>
      </c>
      <c r="K26" s="12" t="s">
        <v>197</v>
      </c>
      <c r="L26" s="33" t="s">
        <v>198</v>
      </c>
      <c r="M26" s="26" t="s">
        <v>199</v>
      </c>
      <c r="N26" s="41" t="s">
        <v>200</v>
      </c>
      <c r="O26" s="4" t="s">
        <v>201</v>
      </c>
      <c r="P26" s="26"/>
      <c r="Q26" s="26"/>
      <c r="R26" s="26"/>
      <c r="S26" s="26"/>
      <c r="T26" s="26"/>
    </row>
    <row r="27" spans="1:20" x14ac:dyDescent="0.25">
      <c r="A27" t="s">
        <v>202</v>
      </c>
      <c r="B27" s="26" t="s">
        <v>203</v>
      </c>
      <c r="C27" s="27"/>
      <c r="D27" s="26" t="s">
        <v>56</v>
      </c>
      <c r="E27" s="26" t="s">
        <v>57</v>
      </c>
      <c r="F27" s="33"/>
      <c r="G27" s="26" t="s">
        <v>204</v>
      </c>
      <c r="H27" s="31">
        <v>25</v>
      </c>
      <c r="I27" s="32"/>
      <c r="J27" s="11">
        <v>1</v>
      </c>
      <c r="K27" s="26" t="s">
        <v>205</v>
      </c>
      <c r="L27" s="33" t="s">
        <v>206</v>
      </c>
      <c r="M27" s="26" t="s">
        <v>207</v>
      </c>
      <c r="N27" s="26"/>
      <c r="O27" s="26"/>
      <c r="P27" s="26"/>
      <c r="Q27" s="26"/>
      <c r="R27" s="26"/>
      <c r="S27" s="26"/>
      <c r="T27" s="26"/>
    </row>
    <row r="28" spans="1:20" x14ac:dyDescent="0.25">
      <c r="A28" t="s">
        <v>208</v>
      </c>
      <c r="B28" s="26" t="s">
        <v>209</v>
      </c>
      <c r="C28" s="27">
        <v>4</v>
      </c>
      <c r="D28" s="26" t="s">
        <v>56</v>
      </c>
      <c r="E28" s="26" t="s">
        <v>57</v>
      </c>
      <c r="F28" s="33"/>
      <c r="G28" s="26" t="s">
        <v>210</v>
      </c>
      <c r="H28" s="31">
        <v>25</v>
      </c>
      <c r="I28" s="32"/>
      <c r="J28" s="11">
        <v>1</v>
      </c>
      <c r="K28" s="26" t="s">
        <v>211</v>
      </c>
      <c r="L28" s="33" t="s">
        <v>212</v>
      </c>
      <c r="M28" s="26" t="s">
        <v>213</v>
      </c>
      <c r="N28" s="26"/>
      <c r="O28" s="26" t="s">
        <v>214</v>
      </c>
      <c r="P28" s="26" t="s">
        <v>215</v>
      </c>
      <c r="Q28" s="26" t="s">
        <v>216</v>
      </c>
      <c r="R28" s="26" t="s">
        <v>217</v>
      </c>
      <c r="S28" s="26" t="s">
        <v>218</v>
      </c>
      <c r="T28" s="26" t="s">
        <v>219</v>
      </c>
    </row>
    <row r="29" spans="1:38" s="40" customFormat="1" x14ac:dyDescent="0.25">
      <c r="A29" s="40" t="s">
        <v>220</v>
      </c>
      <c r="B29" s="42" t="s">
        <v>221</v>
      </c>
      <c r="C29" s="43"/>
      <c r="D29" s="42" t="s">
        <v>56</v>
      </c>
      <c r="E29" s="42" t="s">
        <v>57</v>
      </c>
      <c r="F29" s="44"/>
      <c r="G29" s="42" t="s">
        <v>222</v>
      </c>
      <c r="H29" s="45">
        <v>25</v>
      </c>
      <c r="I29" s="46" t="s">
        <v>223</v>
      </c>
      <c r="J29" s="47">
        <v>0</v>
      </c>
      <c r="K29" s="48"/>
      <c r="L29" s="44" t="s">
        <v>224</v>
      </c>
      <c r="M29" s="42"/>
      <c r="N29" s="42"/>
      <c r="O29" s="42"/>
      <c r="P29" s="42"/>
      <c r="Q29" s="42"/>
      <c r="R29" s="42"/>
      <c r="S29" s="42"/>
      <c r="T29" s="42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20" x14ac:dyDescent="0.25">
      <c r="A30" t="s">
        <v>225</v>
      </c>
      <c r="B30" s="26" t="s">
        <v>226</v>
      </c>
      <c r="C30" s="27"/>
      <c r="D30" s="26" t="s">
        <v>56</v>
      </c>
      <c r="E30" s="26" t="s">
        <v>57</v>
      </c>
      <c r="F30" s="33"/>
      <c r="G30" s="26" t="s">
        <v>227</v>
      </c>
      <c r="H30" s="31">
        <v>25</v>
      </c>
      <c r="I30" s="32"/>
      <c r="J30" s="11">
        <v>4</v>
      </c>
      <c r="K30" s="12" t="s">
        <v>187</v>
      </c>
      <c r="L30" s="33" t="s">
        <v>228</v>
      </c>
      <c r="M30" s="26" t="s">
        <v>229</v>
      </c>
      <c r="N30" s="26" t="s">
        <v>230</v>
      </c>
      <c r="O30" s="26" t="s">
        <v>231</v>
      </c>
      <c r="P30" s="26" t="s">
        <v>232</v>
      </c>
      <c r="Q30" s="26" t="s">
        <v>233</v>
      </c>
      <c r="R30" s="26" t="s">
        <v>234</v>
      </c>
      <c r="S30" s="26" t="s">
        <v>207</v>
      </c>
      <c r="T30" s="26"/>
    </row>
    <row r="31" spans="2:38" s="40" customFormat="1" x14ac:dyDescent="0.25">
      <c r="B31" s="42" t="s">
        <v>235</v>
      </c>
      <c r="C31" s="43"/>
      <c r="D31" s="42" t="s">
        <v>56</v>
      </c>
      <c r="E31" s="42" t="s">
        <v>57</v>
      </c>
      <c r="F31" s="44"/>
      <c r="G31" s="42" t="s">
        <v>236</v>
      </c>
      <c r="H31" s="45">
        <v>20</v>
      </c>
      <c r="I31" s="46"/>
      <c r="J31" s="47">
        <v>0</v>
      </c>
      <c r="K31" s="48" t="s">
        <v>152</v>
      </c>
      <c r="L31" s="44" t="s">
        <v>237</v>
      </c>
      <c r="M31" s="42" t="s">
        <v>231</v>
      </c>
      <c r="N31" s="42" t="s">
        <v>238</v>
      </c>
      <c r="O31" s="42" t="s">
        <v>239</v>
      </c>
      <c r="P31" s="42"/>
      <c r="Q31" s="42"/>
      <c r="R31" s="42"/>
      <c r="S31" s="42"/>
      <c r="T31" s="42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20" s="14" customFormat="1" x14ac:dyDescent="0.25">
      <c r="A32" t="s">
        <v>240</v>
      </c>
      <c r="B32" s="26" t="s">
        <v>241</v>
      </c>
      <c r="C32" s="35">
        <v>7.5</v>
      </c>
      <c r="D32" s="26" t="s">
        <v>56</v>
      </c>
      <c r="E32" s="26" t="s">
        <v>57</v>
      </c>
      <c r="F32" s="33"/>
      <c r="G32" s="26" t="s">
        <v>242</v>
      </c>
      <c r="H32" s="31">
        <v>20</v>
      </c>
      <c r="I32" s="32" t="s">
        <v>243</v>
      </c>
      <c r="J32" s="11">
        <v>2</v>
      </c>
      <c r="K32" s="12" t="s">
        <v>244</v>
      </c>
      <c r="L32" s="33" t="s">
        <v>200</v>
      </c>
      <c r="M32" s="26" t="s">
        <v>245</v>
      </c>
      <c r="N32" s="26" t="s">
        <v>246</v>
      </c>
      <c r="O32" s="26" t="s">
        <v>247</v>
      </c>
      <c r="P32" s="26" t="s">
        <v>248</v>
      </c>
      <c r="Q32" s="49" t="s">
        <v>249</v>
      </c>
      <c r="R32" s="26" t="s">
        <v>250</v>
      </c>
      <c r="S32" s="26"/>
      <c r="T32" s="26"/>
    </row>
    <row r="33" spans="1:20" s="14" customFormat="1" x14ac:dyDescent="0.25">
      <c r="A33" t="s">
        <v>251</v>
      </c>
      <c r="B33" s="26" t="s">
        <v>252</v>
      </c>
      <c r="C33" s="35">
        <v>5.9</v>
      </c>
      <c r="D33" s="26" t="s">
        <v>56</v>
      </c>
      <c r="E33" s="26" t="s">
        <v>57</v>
      </c>
      <c r="F33" s="33"/>
      <c r="G33" s="26" t="s">
        <v>253</v>
      </c>
      <c r="H33" s="31">
        <v>20</v>
      </c>
      <c r="I33" s="32"/>
      <c r="J33" s="15">
        <v>0</v>
      </c>
      <c r="K33" s="12" t="s">
        <v>254</v>
      </c>
      <c r="L33" s="33" t="s">
        <v>255</v>
      </c>
      <c r="M33" s="26" t="s">
        <v>256</v>
      </c>
      <c r="N33" s="26" t="s">
        <v>26</v>
      </c>
      <c r="O33" s="26" t="s">
        <v>257</v>
      </c>
      <c r="P33" s="26" t="s">
        <v>135</v>
      </c>
      <c r="Q33" s="26" t="s">
        <v>258</v>
      </c>
      <c r="R33" s="26"/>
      <c r="S33" s="26" t="s">
        <v>259</v>
      </c>
      <c r="T33" s="26" t="s">
        <v>260</v>
      </c>
    </row>
    <row r="34" spans="1:20" s="14" customFormat="1" x14ac:dyDescent="0.25">
      <c r="A34" s="4" t="s">
        <v>261</v>
      </c>
      <c r="B34" s="26" t="s">
        <v>262</v>
      </c>
      <c r="C34" s="27"/>
      <c r="D34" s="26" t="s">
        <v>56</v>
      </c>
      <c r="E34" s="26" t="s">
        <v>57</v>
      </c>
      <c r="F34" s="33"/>
      <c r="G34" s="26" t="s">
        <v>263</v>
      </c>
      <c r="H34" s="31">
        <v>20</v>
      </c>
      <c r="I34" s="32"/>
      <c r="J34" s="11">
        <v>4</v>
      </c>
      <c r="K34" s="12" t="s">
        <v>264</v>
      </c>
      <c r="L34" s="33" t="s">
        <v>265</v>
      </c>
      <c r="M34" s="26" t="s">
        <v>259</v>
      </c>
      <c r="N34" s="26" t="s">
        <v>248</v>
      </c>
      <c r="O34" s="26" t="s">
        <v>255</v>
      </c>
      <c r="P34" s="26" t="s">
        <v>266</v>
      </c>
      <c r="Q34" s="26" t="s">
        <v>267</v>
      </c>
      <c r="R34" s="26" t="s">
        <v>267</v>
      </c>
      <c r="S34" s="26" t="s">
        <v>26</v>
      </c>
      <c r="T34" s="26"/>
    </row>
    <row r="35" spans="1:20" x14ac:dyDescent="0.25">
      <c r="A35" t="s">
        <v>268</v>
      </c>
      <c r="B35" s="26" t="s">
        <v>269</v>
      </c>
      <c r="C35" s="27"/>
      <c r="D35" s="26" t="s">
        <v>56</v>
      </c>
      <c r="E35" s="26" t="s">
        <v>57</v>
      </c>
      <c r="F35" s="33"/>
      <c r="G35" s="26" t="s">
        <v>270</v>
      </c>
      <c r="H35" s="31">
        <v>20</v>
      </c>
      <c r="I35" s="32"/>
      <c r="J35" s="11">
        <v>7</v>
      </c>
      <c r="K35" s="12" t="s">
        <v>271</v>
      </c>
      <c r="L35" s="33" t="s">
        <v>272</v>
      </c>
      <c r="M35" s="26" t="s">
        <v>273</v>
      </c>
      <c r="N35" s="26" t="s">
        <v>274</v>
      </c>
      <c r="O35" s="26" t="s">
        <v>275</v>
      </c>
      <c r="P35" s="26" t="s">
        <v>276</v>
      </c>
      <c r="Q35" s="26" t="s">
        <v>277</v>
      </c>
      <c r="R35" s="26"/>
      <c r="S35" s="26"/>
      <c r="T35" s="26" t="s">
        <v>278</v>
      </c>
    </row>
    <row r="36" spans="1:20" x14ac:dyDescent="0.25">
      <c r="A36" t="s">
        <v>279</v>
      </c>
      <c r="B36" s="26" t="s">
        <v>280</v>
      </c>
      <c r="C36" s="27">
        <v>7</v>
      </c>
      <c r="D36" s="26" t="s">
        <v>56</v>
      </c>
      <c r="E36" s="26" t="s">
        <v>57</v>
      </c>
      <c r="F36" s="33"/>
      <c r="G36" s="26" t="s">
        <v>281</v>
      </c>
      <c r="H36" s="31">
        <v>20</v>
      </c>
      <c r="I36" s="32"/>
      <c r="J36" s="11">
        <v>3</v>
      </c>
      <c r="K36" s="12" t="s">
        <v>80</v>
      </c>
      <c r="L36" s="33" t="s">
        <v>282</v>
      </c>
      <c r="M36" s="26" t="s">
        <v>283</v>
      </c>
      <c r="N36" s="26" t="s">
        <v>170</v>
      </c>
      <c r="O36" s="26" t="s">
        <v>284</v>
      </c>
      <c r="P36" s="26"/>
      <c r="Q36" s="26" t="s">
        <v>134</v>
      </c>
      <c r="R36" s="26" t="s">
        <v>285</v>
      </c>
      <c r="S36" s="26" t="s">
        <v>286</v>
      </c>
      <c r="T36" s="26" t="s">
        <v>66</v>
      </c>
    </row>
    <row r="37" spans="1:20" s="14" customFormat="1" x14ac:dyDescent="0.25">
      <c r="A37" t="s">
        <v>287</v>
      </c>
      <c r="B37" s="26" t="s">
        <v>288</v>
      </c>
      <c r="C37" s="27"/>
      <c r="D37" s="26" t="s">
        <v>56</v>
      </c>
      <c r="E37" s="26" t="s">
        <v>57</v>
      </c>
      <c r="F37" s="33"/>
      <c r="G37" s="26" t="s">
        <v>289</v>
      </c>
      <c r="H37" s="31">
        <v>5</v>
      </c>
      <c r="I37" s="32" t="s">
        <v>290</v>
      </c>
      <c r="J37" s="11">
        <v>17</v>
      </c>
      <c r="K37" s="12" t="s">
        <v>291</v>
      </c>
      <c r="L37" s="8" t="s">
        <v>85</v>
      </c>
      <c r="M37" s="26" t="s">
        <v>173</v>
      </c>
      <c r="N37" s="6" t="s">
        <v>135</v>
      </c>
      <c r="O37" s="6" t="s">
        <v>292</v>
      </c>
      <c r="P37" s="6"/>
      <c r="Q37" s="6" t="s">
        <v>293</v>
      </c>
      <c r="R37" s="6" t="s">
        <v>275</v>
      </c>
      <c r="S37" s="6" t="s">
        <v>294</v>
      </c>
      <c r="T37" s="6" t="s">
        <v>295</v>
      </c>
    </row>
    <row r="38" spans="1:20" x14ac:dyDescent="0.25">
      <c r="A38" t="s">
        <v>296</v>
      </c>
      <c r="B38" s="26" t="s">
        <v>297</v>
      </c>
      <c r="C38" s="35">
        <v>8.2</v>
      </c>
      <c r="D38" s="26" t="s">
        <v>56</v>
      </c>
      <c r="E38" s="26" t="s">
        <v>57</v>
      </c>
      <c r="F38" s="33"/>
      <c r="G38" s="26" t="s">
        <v>298</v>
      </c>
      <c r="H38" s="31">
        <v>21</v>
      </c>
      <c r="I38" s="32"/>
      <c r="J38" s="11">
        <v>1</v>
      </c>
      <c r="K38" s="12" t="s">
        <v>264</v>
      </c>
      <c r="L38" s="8" t="s">
        <v>121</v>
      </c>
      <c r="M38" s="26" t="s">
        <v>299</v>
      </c>
      <c r="N38" s="6"/>
      <c r="O38" s="6"/>
      <c r="P38" s="6"/>
      <c r="Q38" s="6"/>
      <c r="R38" s="6"/>
      <c r="S38" s="6"/>
      <c r="T38" s="6"/>
    </row>
    <row r="39" spans="1:20" x14ac:dyDescent="0.25">
      <c r="A39" t="s">
        <v>300</v>
      </c>
      <c r="B39" s="26" t="s">
        <v>301</v>
      </c>
      <c r="C39" s="27"/>
      <c r="D39" s="26" t="s">
        <v>56</v>
      </c>
      <c r="E39" s="26" t="s">
        <v>57</v>
      </c>
      <c r="F39" s="33"/>
      <c r="G39" s="26" t="s">
        <v>302</v>
      </c>
      <c r="H39" s="31">
        <v>20</v>
      </c>
      <c r="I39" s="32"/>
      <c r="J39" s="11">
        <v>2</v>
      </c>
      <c r="K39" s="12" t="s">
        <v>152</v>
      </c>
      <c r="L39" s="8" t="s">
        <v>303</v>
      </c>
      <c r="M39" s="26" t="s">
        <v>34</v>
      </c>
      <c r="N39" s="6" t="s">
        <v>304</v>
      </c>
      <c r="O39" s="6" t="s">
        <v>305</v>
      </c>
      <c r="P39" s="6"/>
      <c r="Q39" s="6"/>
      <c r="R39" s="6"/>
      <c r="S39" s="6"/>
      <c r="T39" s="6"/>
    </row>
    <row r="40" spans="1:20" x14ac:dyDescent="0.25">
      <c r="A40" s="4" t="s">
        <v>306</v>
      </c>
      <c r="B40" s="26" t="s">
        <v>307</v>
      </c>
      <c r="C40" s="27"/>
      <c r="D40" s="26" t="s">
        <v>56</v>
      </c>
      <c r="E40" s="26" t="s">
        <v>57</v>
      </c>
      <c r="F40" s="33"/>
      <c r="G40" s="26" t="s">
        <v>308</v>
      </c>
      <c r="H40" s="31">
        <v>5</v>
      </c>
      <c r="I40" s="32"/>
      <c r="J40" s="11">
        <v>32</v>
      </c>
      <c r="K40" s="12" t="s">
        <v>309</v>
      </c>
      <c r="L40" s="33" t="s">
        <v>310</v>
      </c>
      <c r="M40" s="26" t="s">
        <v>174</v>
      </c>
      <c r="N40" s="26" t="s">
        <v>311</v>
      </c>
      <c r="O40" s="26" t="s">
        <v>312</v>
      </c>
      <c r="P40" s="26"/>
      <c r="Q40" s="26" t="s">
        <v>313</v>
      </c>
      <c r="R40" s="26" t="s">
        <v>314</v>
      </c>
      <c r="S40" s="26" t="s">
        <v>315</v>
      </c>
      <c r="T40" s="26" t="s">
        <v>316</v>
      </c>
    </row>
    <row r="41" spans="1:20" x14ac:dyDescent="0.25">
      <c r="A41" t="s">
        <v>317</v>
      </c>
      <c r="B41" s="26" t="s">
        <v>318</v>
      </c>
      <c r="C41" s="27"/>
      <c r="D41" s="26" t="s">
        <v>56</v>
      </c>
      <c r="E41" s="26" t="s">
        <v>57</v>
      </c>
      <c r="F41" s="33"/>
      <c r="G41" s="26" t="s">
        <v>319</v>
      </c>
      <c r="H41" s="31">
        <v>5</v>
      </c>
      <c r="I41" s="32" t="s">
        <v>320</v>
      </c>
      <c r="J41" s="11">
        <v>27</v>
      </c>
      <c r="K41" s="34" t="s">
        <v>321</v>
      </c>
      <c r="L41" s="8"/>
      <c r="M41" s="6" t="s">
        <v>313</v>
      </c>
      <c r="N41" s="6" t="s">
        <v>126</v>
      </c>
      <c r="O41" s="6" t="s">
        <v>322</v>
      </c>
      <c r="P41" s="6" t="s">
        <v>323</v>
      </c>
      <c r="Q41" s="6" t="s">
        <v>324</v>
      </c>
      <c r="R41" s="6" t="s">
        <v>325</v>
      </c>
      <c r="S41" s="6" t="s">
        <v>326</v>
      </c>
      <c r="T41" s="6" t="s">
        <v>327</v>
      </c>
    </row>
    <row r="42" spans="1:20" x14ac:dyDescent="0.25">
      <c r="A42" t="s">
        <v>328</v>
      </c>
      <c r="B42" s="26" t="s">
        <v>329</v>
      </c>
      <c r="C42" s="27"/>
      <c r="D42" s="26" t="s">
        <v>56</v>
      </c>
      <c r="E42" s="26" t="s">
        <v>57</v>
      </c>
      <c r="F42" s="33"/>
      <c r="G42" s="26" t="s">
        <v>330</v>
      </c>
      <c r="H42" s="31">
        <v>20</v>
      </c>
      <c r="I42" s="32"/>
      <c r="J42" s="11">
        <v>7</v>
      </c>
      <c r="K42" s="12" t="s">
        <v>331</v>
      </c>
      <c r="L42" s="33" t="s">
        <v>332</v>
      </c>
      <c r="M42" s="26" t="s">
        <v>333</v>
      </c>
      <c r="N42" s="26" t="s">
        <v>259</v>
      </c>
      <c r="O42" s="26" t="s">
        <v>46</v>
      </c>
      <c r="P42" s="26" t="s">
        <v>193</v>
      </c>
      <c r="Q42" s="26"/>
      <c r="R42" s="26"/>
      <c r="S42" s="26"/>
      <c r="T42" s="26"/>
    </row>
    <row r="43" spans="1:20" s="14" customFormat="1" x14ac:dyDescent="0.25">
      <c r="A43" t="s">
        <v>334</v>
      </c>
      <c r="B43" s="26" t="s">
        <v>335</v>
      </c>
      <c r="C43" s="27"/>
      <c r="D43" s="26" t="s">
        <v>56</v>
      </c>
      <c r="E43" s="26" t="s">
        <v>57</v>
      </c>
      <c r="F43" s="33"/>
      <c r="G43" s="26" t="s">
        <v>336</v>
      </c>
      <c r="H43" s="31">
        <v>20</v>
      </c>
      <c r="I43" s="32"/>
      <c r="J43" s="11">
        <v>0</v>
      </c>
      <c r="K43" s="12" t="s">
        <v>337</v>
      </c>
      <c r="L43" s="33" t="s">
        <v>332</v>
      </c>
      <c r="M43" s="26" t="s">
        <v>63</v>
      </c>
      <c r="N43" s="26" t="s">
        <v>338</v>
      </c>
      <c r="O43" s="26"/>
      <c r="P43" s="26"/>
      <c r="Q43" s="26"/>
      <c r="R43" s="26"/>
      <c r="S43" s="26"/>
      <c r="T43" s="26"/>
    </row>
    <row r="44" spans="1:20" s="14" customFormat="1" x14ac:dyDescent="0.25">
      <c r="A44" t="s">
        <v>339</v>
      </c>
      <c r="B44" s="26" t="s">
        <v>340</v>
      </c>
      <c r="C44" s="35">
        <v>7.3</v>
      </c>
      <c r="D44" s="26" t="s">
        <v>56</v>
      </c>
      <c r="E44" s="26" t="s">
        <v>57</v>
      </c>
      <c r="F44" s="33"/>
      <c r="G44" s="26" t="s">
        <v>341</v>
      </c>
      <c r="H44" s="31">
        <v>20</v>
      </c>
      <c r="I44" s="32"/>
      <c r="J44" s="11">
        <v>6</v>
      </c>
      <c r="K44" s="12" t="s">
        <v>342</v>
      </c>
      <c r="L44" s="8" t="s">
        <v>343</v>
      </c>
      <c r="M44" s="26" t="s">
        <v>344</v>
      </c>
      <c r="N44" s="6" t="s">
        <v>200</v>
      </c>
      <c r="O44" s="6" t="s">
        <v>345</v>
      </c>
      <c r="P44" s="6" t="s">
        <v>346</v>
      </c>
      <c r="Q44" s="6"/>
      <c r="R44" s="6"/>
      <c r="S44" s="6"/>
      <c r="T44" s="6"/>
    </row>
    <row r="45" spans="2:38" s="16" customFormat="1" x14ac:dyDescent="0.25">
      <c r="B45" s="26" t="s">
        <v>347</v>
      </c>
      <c r="C45" s="35">
        <v>7.5</v>
      </c>
      <c r="D45" s="26" t="s">
        <v>56</v>
      </c>
      <c r="E45" s="26" t="s">
        <v>57</v>
      </c>
      <c r="F45" s="33"/>
      <c r="G45" s="26" t="s">
        <v>348</v>
      </c>
      <c r="H45" s="31">
        <v>20</v>
      </c>
      <c r="I45" s="32"/>
      <c r="J45" s="11">
        <v>1</v>
      </c>
      <c r="K45" s="12" t="s">
        <v>349</v>
      </c>
      <c r="L45" s="8" t="s">
        <v>343</v>
      </c>
      <c r="M45" s="6" t="s">
        <v>188</v>
      </c>
      <c r="N45" s="6" t="s">
        <v>350</v>
      </c>
      <c r="O45" s="6" t="s">
        <v>351</v>
      </c>
      <c r="P45" s="6"/>
      <c r="Q45" s="6"/>
      <c r="R45" s="6"/>
      <c r="S45" s="6"/>
      <c r="T45" s="6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21" x14ac:dyDescent="0.25">
      <c r="A46" t="s">
        <v>352</v>
      </c>
      <c r="B46" s="6" t="s">
        <v>353</v>
      </c>
      <c r="C46" s="7">
        <v>7.3</v>
      </c>
      <c r="D46" s="6" t="s">
        <v>56</v>
      </c>
      <c r="E46" s="6" t="s">
        <v>57</v>
      </c>
      <c r="F46" s="8" t="s">
        <v>354</v>
      </c>
      <c r="G46" s="6" t="s">
        <v>355</v>
      </c>
      <c r="H46" s="50">
        <v>20</v>
      </c>
      <c r="I46" s="10"/>
      <c r="J46" s="51">
        <v>3</v>
      </c>
      <c r="K46" s="52" t="s">
        <v>356</v>
      </c>
      <c r="L46" s="8" t="s">
        <v>357</v>
      </c>
      <c r="M46" s="6" t="s">
        <v>358</v>
      </c>
      <c r="N46" s="13" t="s">
        <v>359</v>
      </c>
      <c r="O46" s="6" t="s">
        <v>360</v>
      </c>
      <c r="P46" s="6" t="s">
        <v>207</v>
      </c>
      <c r="Q46" s="6" t="s">
        <v>361</v>
      </c>
      <c r="R46" s="6" t="s">
        <v>362</v>
      </c>
      <c r="S46" s="6"/>
      <c r="T46" s="6" t="s">
        <v>363</v>
      </c>
      <c r="U46" s="53"/>
    </row>
    <row r="47" spans="1:21" s="14" customFormat="1" x14ac:dyDescent="0.25">
      <c r="A47" s="4" t="s">
        <v>364</v>
      </c>
      <c r="B47" s="26" t="s">
        <v>365</v>
      </c>
      <c r="C47" s="35">
        <v>8.3</v>
      </c>
      <c r="D47" s="26" t="s">
        <v>56</v>
      </c>
      <c r="E47" s="26" t="s">
        <v>57</v>
      </c>
      <c r="F47" s="33"/>
      <c r="G47" s="26" t="s">
        <v>366</v>
      </c>
      <c r="H47" s="31">
        <v>20</v>
      </c>
      <c r="I47" s="32"/>
      <c r="J47" s="11">
        <v>5</v>
      </c>
      <c r="K47" s="12" t="s">
        <v>367</v>
      </c>
      <c r="L47" s="33" t="s">
        <v>368</v>
      </c>
      <c r="M47" s="26" t="s">
        <v>369</v>
      </c>
      <c r="N47" s="28" t="s">
        <v>370</v>
      </c>
      <c r="O47" s="26" t="s">
        <v>61</v>
      </c>
      <c r="P47" s="26" t="s">
        <v>371</v>
      </c>
      <c r="Q47" s="26" t="s">
        <v>64</v>
      </c>
      <c r="R47" s="26" t="s">
        <v>285</v>
      </c>
      <c r="S47" s="26" t="s">
        <v>362</v>
      </c>
      <c r="T47" s="26"/>
      <c r="U47" s="54"/>
    </row>
    <row r="48" spans="1:20" s="14" customFormat="1" x14ac:dyDescent="0.25">
      <c r="A48" s="16" t="s">
        <v>372</v>
      </c>
      <c r="B48" s="17" t="s">
        <v>373</v>
      </c>
      <c r="C48" s="18"/>
      <c r="D48" s="17" t="s">
        <v>56</v>
      </c>
      <c r="E48" s="17" t="s">
        <v>57</v>
      </c>
      <c r="F48" s="25"/>
      <c r="G48" s="17" t="s">
        <v>374</v>
      </c>
      <c r="H48" s="22">
        <v>5</v>
      </c>
      <c r="I48" s="23" t="s">
        <v>375</v>
      </c>
      <c r="J48" s="15">
        <v>0</v>
      </c>
      <c r="K48" s="24" t="s">
        <v>376</v>
      </c>
      <c r="L48" s="25" t="s">
        <v>377</v>
      </c>
      <c r="M48" s="17"/>
      <c r="N48" s="17" t="s">
        <v>25</v>
      </c>
      <c r="O48" s="17" t="s">
        <v>378</v>
      </c>
      <c r="P48" s="19" t="s">
        <v>379</v>
      </c>
      <c r="Q48" s="17" t="s">
        <v>380</v>
      </c>
      <c r="R48" s="17" t="s">
        <v>381</v>
      </c>
      <c r="S48" s="17" t="s">
        <v>382</v>
      </c>
      <c r="T48" s="17" t="s">
        <v>383</v>
      </c>
    </row>
    <row r="49" spans="1:20" x14ac:dyDescent="0.25">
      <c r="A49" t="s">
        <v>384</v>
      </c>
      <c r="B49" s="26" t="s">
        <v>385</v>
      </c>
      <c r="C49" s="27"/>
      <c r="D49" s="55" t="s">
        <v>29</v>
      </c>
      <c r="E49" s="26" t="s">
        <v>386</v>
      </c>
      <c r="F49" s="33"/>
      <c r="G49" s="26" t="s">
        <v>387</v>
      </c>
      <c r="H49" s="56">
        <v>20</v>
      </c>
      <c r="I49" s="32"/>
      <c r="J49" s="11">
        <v>14</v>
      </c>
      <c r="K49" s="12" t="s">
        <v>80</v>
      </c>
      <c r="L49" s="33" t="s">
        <v>388</v>
      </c>
      <c r="M49" s="26" t="s">
        <v>389</v>
      </c>
      <c r="N49" s="26" t="s">
        <v>390</v>
      </c>
      <c r="O49" s="26" t="s">
        <v>43</v>
      </c>
      <c r="P49" s="26" t="s">
        <v>48</v>
      </c>
      <c r="Q49" s="26"/>
      <c r="R49" s="26"/>
      <c r="S49" s="26"/>
      <c r="T49" s="26"/>
    </row>
    <row r="50" spans="2:20" s="40" customFormat="1" x14ac:dyDescent="0.25">
      <c r="B50" s="42" t="s">
        <v>391</v>
      </c>
      <c r="C50" s="43"/>
      <c r="D50" s="42" t="s">
        <v>29</v>
      </c>
      <c r="E50" s="42" t="s">
        <v>386</v>
      </c>
      <c r="F50" s="44"/>
      <c r="G50" s="42" t="s">
        <v>392</v>
      </c>
      <c r="H50" s="57">
        <v>10</v>
      </c>
      <c r="I50" s="58"/>
      <c r="J50" s="47">
        <v>0</v>
      </c>
      <c r="K50" s="48" t="s">
        <v>393</v>
      </c>
      <c r="L50" s="44" t="s">
        <v>394</v>
      </c>
      <c r="M50" s="42" t="s">
        <v>395</v>
      </c>
      <c r="N50" s="42"/>
      <c r="O50" s="42"/>
      <c r="P50" s="42"/>
      <c r="Q50" s="42"/>
      <c r="R50" s="42"/>
      <c r="S50" s="42"/>
      <c r="T50" s="42"/>
    </row>
    <row r="51" spans="2:38" s="16" customFormat="1" x14ac:dyDescent="0.25">
      <c r="B51" s="26" t="s">
        <v>396</v>
      </c>
      <c r="C51" s="27"/>
      <c r="D51" s="26" t="s">
        <v>29</v>
      </c>
      <c r="E51" s="26" t="s">
        <v>386</v>
      </c>
      <c r="F51" s="33"/>
      <c r="G51" s="26" t="s">
        <v>397</v>
      </c>
      <c r="H51" s="56">
        <v>10</v>
      </c>
      <c r="I51" s="32" t="s">
        <v>398</v>
      </c>
      <c r="J51" s="11">
        <v>2.4</v>
      </c>
      <c r="K51" s="12"/>
      <c r="L51" s="33"/>
      <c r="M51" s="26"/>
      <c r="N51" s="26"/>
      <c r="O51" s="26"/>
      <c r="P51" s="26"/>
      <c r="Q51" s="26"/>
      <c r="R51" s="26"/>
      <c r="S51" s="26"/>
      <c r="T51" s="26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s="16" customFormat="1" x14ac:dyDescent="0.25">
      <c r="A52" t="s">
        <v>399</v>
      </c>
      <c r="B52" s="26" t="s">
        <v>400</v>
      </c>
      <c r="C52" s="27"/>
      <c r="D52" s="26" t="s">
        <v>29</v>
      </c>
      <c r="E52" s="26" t="s">
        <v>386</v>
      </c>
      <c r="F52" s="33"/>
      <c r="G52" s="26" t="s">
        <v>401</v>
      </c>
      <c r="H52" s="56">
        <v>10</v>
      </c>
      <c r="I52" s="32"/>
      <c r="J52" s="11">
        <v>5</v>
      </c>
      <c r="K52" s="12" t="s">
        <v>402</v>
      </c>
      <c r="L52" s="33" t="s">
        <v>403</v>
      </c>
      <c r="M52" s="26" t="s">
        <v>404</v>
      </c>
      <c r="N52" s="26" t="s">
        <v>405</v>
      </c>
      <c r="O52" s="26"/>
      <c r="P52" s="26"/>
      <c r="Q52" s="26"/>
      <c r="R52" s="26"/>
      <c r="S52" s="26"/>
      <c r="T52" s="26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2:20" s="14" customFormat="1" x14ac:dyDescent="0.25">
      <c r="B53" s="26" t="s">
        <v>406</v>
      </c>
      <c r="C53" s="27"/>
      <c r="D53" s="26" t="s">
        <v>29</v>
      </c>
      <c r="E53" s="26" t="s">
        <v>386</v>
      </c>
      <c r="F53" s="33"/>
      <c r="G53" s="26" t="s">
        <v>407</v>
      </c>
      <c r="H53" s="56">
        <v>10</v>
      </c>
      <c r="I53" s="32" t="s">
        <v>408</v>
      </c>
      <c r="J53" s="11">
        <v>1</v>
      </c>
      <c r="K53" s="12"/>
      <c r="L53" s="33"/>
      <c r="M53" s="26"/>
      <c r="N53" s="26"/>
      <c r="O53" s="26"/>
      <c r="P53" s="26"/>
      <c r="Q53" s="26"/>
      <c r="R53" s="26"/>
      <c r="S53" s="26"/>
      <c r="T53" s="26"/>
    </row>
    <row r="54" spans="1:20" x14ac:dyDescent="0.25">
      <c r="A54" t="s">
        <v>409</v>
      </c>
      <c r="B54" s="26" t="s">
        <v>410</v>
      </c>
      <c r="C54" s="27"/>
      <c r="D54" s="26" t="s">
        <v>29</v>
      </c>
      <c r="E54" s="26" t="s">
        <v>386</v>
      </c>
      <c r="F54" s="33"/>
      <c r="G54" s="26" t="s">
        <v>411</v>
      </c>
      <c r="H54" s="56">
        <v>6</v>
      </c>
      <c r="I54" s="32"/>
      <c r="J54" s="15">
        <v>0</v>
      </c>
      <c r="K54" s="12" t="s">
        <v>412</v>
      </c>
      <c r="L54" s="33" t="s">
        <v>413</v>
      </c>
      <c r="M54" s="26" t="s">
        <v>212</v>
      </c>
      <c r="N54" s="26" t="s">
        <v>135</v>
      </c>
      <c r="O54" s="26" t="s">
        <v>283</v>
      </c>
      <c r="P54" s="26" t="s">
        <v>284</v>
      </c>
      <c r="Q54" s="26"/>
      <c r="R54" s="26"/>
      <c r="S54" s="26"/>
      <c r="T54" s="26"/>
    </row>
    <row r="55" spans="1:20" s="14" customFormat="1" x14ac:dyDescent="0.25">
      <c r="A55" t="s">
        <v>414</v>
      </c>
      <c r="B55" s="26" t="s">
        <v>415</v>
      </c>
      <c r="C55" s="35">
        <v>10.1</v>
      </c>
      <c r="D55" s="26" t="s">
        <v>29</v>
      </c>
      <c r="E55" s="26" t="s">
        <v>386</v>
      </c>
      <c r="F55" s="33"/>
      <c r="G55" s="26" t="s">
        <v>416</v>
      </c>
      <c r="H55" s="56">
        <v>25</v>
      </c>
      <c r="I55" s="32"/>
      <c r="J55" s="11">
        <v>3</v>
      </c>
      <c r="K55" s="12" t="s">
        <v>417</v>
      </c>
      <c r="L55" s="33" t="s">
        <v>418</v>
      </c>
      <c r="M55" s="26" t="s">
        <v>47</v>
      </c>
      <c r="N55" s="26" t="s">
        <v>158</v>
      </c>
      <c r="O55" s="26"/>
      <c r="P55" s="26"/>
      <c r="Q55" s="26"/>
      <c r="R55" s="26"/>
      <c r="S55" s="26"/>
      <c r="T55" s="28"/>
    </row>
    <row r="56" spans="1:20" s="14" customFormat="1" x14ac:dyDescent="0.25">
      <c r="A56" t="s">
        <v>419</v>
      </c>
      <c r="B56" s="26" t="s">
        <v>420</v>
      </c>
      <c r="C56" s="35">
        <v>7.2</v>
      </c>
      <c r="D56" s="26" t="s">
        <v>29</v>
      </c>
      <c r="E56" s="26" t="s">
        <v>386</v>
      </c>
      <c r="F56" s="33"/>
      <c r="G56" s="26" t="s">
        <v>421</v>
      </c>
      <c r="H56" s="56">
        <v>25</v>
      </c>
      <c r="I56" s="32"/>
      <c r="J56" s="11">
        <v>8</v>
      </c>
      <c r="K56" s="12" t="s">
        <v>422</v>
      </c>
      <c r="L56" s="33" t="s">
        <v>423</v>
      </c>
      <c r="M56" s="26" t="s">
        <v>256</v>
      </c>
      <c r="N56" s="26" t="s">
        <v>424</v>
      </c>
      <c r="O56" s="26" t="s">
        <v>84</v>
      </c>
      <c r="P56" s="26" t="s">
        <v>425</v>
      </c>
      <c r="Q56" s="26" t="s">
        <v>426</v>
      </c>
      <c r="R56" s="26"/>
      <c r="S56" s="26" t="s">
        <v>427</v>
      </c>
      <c r="T56" s="28" t="s">
        <v>428</v>
      </c>
    </row>
    <row r="57" spans="1:38" s="40" customFormat="1" x14ac:dyDescent="0.25">
      <c r="A57" s="4" t="s">
        <v>429</v>
      </c>
      <c r="B57" s="26" t="s">
        <v>430</v>
      </c>
      <c r="C57" s="35">
        <v>7.2</v>
      </c>
      <c r="D57" s="26" t="s">
        <v>29</v>
      </c>
      <c r="E57" s="26" t="s">
        <v>386</v>
      </c>
      <c r="F57" s="33"/>
      <c r="G57" s="26" t="s">
        <v>431</v>
      </c>
      <c r="H57" s="56">
        <v>20</v>
      </c>
      <c r="I57" s="32"/>
      <c r="J57" s="11">
        <v>3</v>
      </c>
      <c r="K57" s="12" t="s">
        <v>41</v>
      </c>
      <c r="L57" s="33" t="s">
        <v>432</v>
      </c>
      <c r="M57" s="26" t="s">
        <v>267</v>
      </c>
      <c r="N57" s="26" t="s">
        <v>250</v>
      </c>
      <c r="O57" s="26" t="s">
        <v>433</v>
      </c>
      <c r="P57" s="26" t="s">
        <v>213</v>
      </c>
      <c r="Q57" s="26"/>
      <c r="R57" s="26" t="s">
        <v>434</v>
      </c>
      <c r="S57" s="26" t="s">
        <v>435</v>
      </c>
      <c r="T57" s="26" t="s">
        <v>436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20" s="14" customFormat="1" x14ac:dyDescent="0.25">
      <c r="A58" s="4" t="s">
        <v>437</v>
      </c>
      <c r="B58" s="26" t="s">
        <v>438</v>
      </c>
      <c r="C58" s="27">
        <v>8.2</v>
      </c>
      <c r="D58" s="26" t="s">
        <v>29</v>
      </c>
      <c r="E58" s="26" t="s">
        <v>386</v>
      </c>
      <c r="F58" s="33"/>
      <c r="G58" s="26" t="s">
        <v>439</v>
      </c>
      <c r="H58" s="56">
        <v>20</v>
      </c>
      <c r="I58" s="32"/>
      <c r="J58" s="51">
        <v>2</v>
      </c>
      <c r="K58" s="12" t="s">
        <v>440</v>
      </c>
      <c r="L58" s="33" t="s">
        <v>441</v>
      </c>
      <c r="M58" s="26" t="s">
        <v>267</v>
      </c>
      <c r="N58" s="26" t="s">
        <v>250</v>
      </c>
      <c r="O58" s="26" t="s">
        <v>442</v>
      </c>
      <c r="P58" s="26" t="s">
        <v>171</v>
      </c>
      <c r="Q58" s="26" t="s">
        <v>213</v>
      </c>
      <c r="R58" s="26"/>
      <c r="S58" s="26"/>
      <c r="T58" s="26"/>
    </row>
    <row r="59" spans="1:20" x14ac:dyDescent="0.25">
      <c r="A59" t="s">
        <v>443</v>
      </c>
      <c r="B59" s="6" t="s">
        <v>444</v>
      </c>
      <c r="C59" s="7">
        <v>8.9</v>
      </c>
      <c r="D59" s="6" t="s">
        <v>29</v>
      </c>
      <c r="E59" s="6" t="s">
        <v>386</v>
      </c>
      <c r="F59" s="8"/>
      <c r="G59" s="6" t="s">
        <v>445</v>
      </c>
      <c r="H59" s="9">
        <v>25</v>
      </c>
      <c r="I59" s="10"/>
      <c r="J59" s="51">
        <v>4</v>
      </c>
      <c r="K59" s="52" t="s">
        <v>446</v>
      </c>
      <c r="L59" s="8" t="s">
        <v>418</v>
      </c>
      <c r="M59" s="6" t="s">
        <v>447</v>
      </c>
      <c r="N59" s="6"/>
      <c r="O59" s="6"/>
      <c r="P59" s="6"/>
      <c r="Q59" s="6"/>
      <c r="R59" s="6"/>
      <c r="S59" s="6"/>
      <c r="T59" s="13"/>
    </row>
    <row r="60" spans="1:38" s="16" customFormat="1" x14ac:dyDescent="0.25">
      <c r="A60" s="4" t="s">
        <v>448</v>
      </c>
      <c r="B60" s="55" t="s">
        <v>449</v>
      </c>
      <c r="C60" s="59"/>
      <c r="D60" s="55" t="s">
        <v>29</v>
      </c>
      <c r="E60" s="55" t="s">
        <v>386</v>
      </c>
      <c r="F60" s="60"/>
      <c r="G60" s="55" t="s">
        <v>450</v>
      </c>
      <c r="H60" s="61">
        <v>10</v>
      </c>
      <c r="I60" s="32"/>
      <c r="J60" s="11">
        <v>6</v>
      </c>
      <c r="K60" s="12" t="s">
        <v>451</v>
      </c>
      <c r="L60" s="33" t="s">
        <v>206</v>
      </c>
      <c r="M60" s="26" t="s">
        <v>452</v>
      </c>
      <c r="N60" s="26" t="s">
        <v>453</v>
      </c>
      <c r="O60" s="26" t="s">
        <v>454</v>
      </c>
      <c r="P60" s="26" t="s">
        <v>357</v>
      </c>
      <c r="Q60" s="26" t="s">
        <v>455</v>
      </c>
      <c r="R60" s="26" t="s">
        <v>426</v>
      </c>
      <c r="S60" s="26"/>
      <c r="T60" s="26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20" x14ac:dyDescent="0.25">
      <c r="A61" s="4" t="s">
        <v>456</v>
      </c>
      <c r="B61" s="55" t="s">
        <v>457</v>
      </c>
      <c r="C61" s="59">
        <v>6.7</v>
      </c>
      <c r="D61" s="55" t="s">
        <v>29</v>
      </c>
      <c r="E61" s="55" t="s">
        <v>386</v>
      </c>
      <c r="F61" s="60"/>
      <c r="G61" s="55" t="s">
        <v>458</v>
      </c>
      <c r="H61" s="61">
        <v>20</v>
      </c>
      <c r="I61" s="62" t="s">
        <v>459</v>
      </c>
      <c r="J61" s="63">
        <v>1</v>
      </c>
      <c r="K61" s="34" t="s">
        <v>460</v>
      </c>
      <c r="L61" s="33" t="s">
        <v>461</v>
      </c>
      <c r="M61" s="26"/>
      <c r="N61" s="26" t="s">
        <v>250</v>
      </c>
      <c r="O61" s="26" t="s">
        <v>462</v>
      </c>
      <c r="P61" s="26" t="s">
        <v>135</v>
      </c>
      <c r="Q61" s="26" t="s">
        <v>463</v>
      </c>
      <c r="R61" s="26" t="s">
        <v>213</v>
      </c>
      <c r="S61" s="26" t="s">
        <v>464</v>
      </c>
      <c r="T61" s="26" t="s">
        <v>465</v>
      </c>
    </row>
    <row r="62" spans="1:38" s="16" customFormat="1" x14ac:dyDescent="0.25">
      <c r="A62" s="4" t="s">
        <v>466</v>
      </c>
      <c r="B62" s="55" t="s">
        <v>467</v>
      </c>
      <c r="C62" s="59"/>
      <c r="D62" s="55" t="s">
        <v>29</v>
      </c>
      <c r="E62" s="55" t="s">
        <v>386</v>
      </c>
      <c r="F62" s="60"/>
      <c r="G62" s="55" t="s">
        <v>468</v>
      </c>
      <c r="H62" s="61">
        <v>10</v>
      </c>
      <c r="I62" s="32"/>
      <c r="J62" s="11">
        <v>1</v>
      </c>
      <c r="K62" s="34" t="s">
        <v>469</v>
      </c>
      <c r="L62" s="33" t="s">
        <v>470</v>
      </c>
      <c r="M62" s="26" t="s">
        <v>248</v>
      </c>
      <c r="N62" s="26" t="s">
        <v>471</v>
      </c>
      <c r="O62" s="26" t="s">
        <v>159</v>
      </c>
      <c r="P62" s="26" t="s">
        <v>472</v>
      </c>
      <c r="Q62" s="26" t="s">
        <v>219</v>
      </c>
      <c r="R62" s="26" t="s">
        <v>473</v>
      </c>
      <c r="S62" s="26" t="s">
        <v>135</v>
      </c>
      <c r="T62" s="26" t="s">
        <v>474</v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2:20" x14ac:dyDescent="0.25">
      <c r="B63" s="26" t="s">
        <v>475</v>
      </c>
      <c r="C63" s="27">
        <v>5.1</v>
      </c>
      <c r="D63" s="55" t="s">
        <v>29</v>
      </c>
      <c r="E63" s="26" t="s">
        <v>386</v>
      </c>
      <c r="F63" s="33"/>
      <c r="G63" s="26" t="s">
        <v>476</v>
      </c>
      <c r="H63" s="56">
        <v>10</v>
      </c>
      <c r="I63" s="32"/>
      <c r="J63" s="11">
        <v>2</v>
      </c>
      <c r="K63" s="12" t="s">
        <v>59</v>
      </c>
      <c r="L63" s="33" t="s">
        <v>424</v>
      </c>
      <c r="M63" s="26" t="s">
        <v>63</v>
      </c>
      <c r="N63" s="26"/>
      <c r="O63" s="26"/>
      <c r="P63" s="26"/>
      <c r="Q63" s="26"/>
      <c r="R63" s="26"/>
      <c r="S63" s="26"/>
      <c r="T63" s="26"/>
    </row>
    <row r="64" spans="1:20" x14ac:dyDescent="0.25">
      <c r="A64" t="s">
        <v>477</v>
      </c>
      <c r="B64" s="26" t="s">
        <v>478</v>
      </c>
      <c r="C64" s="27"/>
      <c r="D64" s="55" t="s">
        <v>29</v>
      </c>
      <c r="E64" s="26" t="s">
        <v>386</v>
      </c>
      <c r="F64" s="33"/>
      <c r="G64" s="26" t="s">
        <v>479</v>
      </c>
      <c r="H64" s="56">
        <v>5</v>
      </c>
      <c r="I64" s="32"/>
      <c r="J64" s="11">
        <v>4</v>
      </c>
      <c r="K64" s="12" t="s">
        <v>271</v>
      </c>
      <c r="L64" s="33" t="s">
        <v>480</v>
      </c>
      <c r="M64" s="26" t="s">
        <v>272</v>
      </c>
      <c r="N64" s="26" t="s">
        <v>481</v>
      </c>
      <c r="O64" s="26" t="s">
        <v>482</v>
      </c>
      <c r="P64" s="26" t="s">
        <v>483</v>
      </c>
      <c r="Q64" s="26" t="s">
        <v>388</v>
      </c>
      <c r="R64" s="26" t="s">
        <v>484</v>
      </c>
      <c r="S64" s="26" t="s">
        <v>485</v>
      </c>
      <c r="T64" s="26"/>
    </row>
    <row r="65" spans="1:20" s="14" customFormat="1" x14ac:dyDescent="0.25">
      <c r="A65" s="4" t="s">
        <v>486</v>
      </c>
      <c r="B65" s="26" t="s">
        <v>487</v>
      </c>
      <c r="C65" s="27"/>
      <c r="D65" s="55" t="s">
        <v>29</v>
      </c>
      <c r="E65" s="26" t="s">
        <v>386</v>
      </c>
      <c r="F65" s="33"/>
      <c r="G65" s="26" t="s">
        <v>488</v>
      </c>
      <c r="H65" s="56">
        <v>10</v>
      </c>
      <c r="I65" s="32"/>
      <c r="J65" s="11">
        <v>1</v>
      </c>
      <c r="K65" s="12" t="s">
        <v>489</v>
      </c>
      <c r="L65" s="33">
        <v>44956</v>
      </c>
      <c r="M65" s="26" t="s">
        <v>490</v>
      </c>
      <c r="N65" s="26" t="s">
        <v>246</v>
      </c>
      <c r="O65" s="26" t="s">
        <v>491</v>
      </c>
      <c r="P65" s="26" t="s">
        <v>485</v>
      </c>
      <c r="Q65" s="26" t="s">
        <v>62</v>
      </c>
      <c r="R65" s="26"/>
      <c r="S65" s="26"/>
      <c r="T65" s="26" t="s">
        <v>492</v>
      </c>
    </row>
    <row r="66" spans="1:20" x14ac:dyDescent="0.25">
      <c r="A66" t="s">
        <v>493</v>
      </c>
      <c r="B66" s="26" t="s">
        <v>494</v>
      </c>
      <c r="C66" s="27"/>
      <c r="D66" s="55" t="s">
        <v>29</v>
      </c>
      <c r="E66" s="26" t="s">
        <v>386</v>
      </c>
      <c r="F66" s="33"/>
      <c r="G66" s="26" t="s">
        <v>495</v>
      </c>
      <c r="H66" s="56">
        <v>10</v>
      </c>
      <c r="I66" s="32"/>
      <c r="J66" s="11">
        <v>3</v>
      </c>
      <c r="K66" s="12" t="s">
        <v>489</v>
      </c>
      <c r="L66" s="33">
        <v>44956</v>
      </c>
      <c r="M66" s="26" t="s">
        <v>496</v>
      </c>
      <c r="N66" s="26" t="s">
        <v>140</v>
      </c>
      <c r="O66" s="26" t="s">
        <v>497</v>
      </c>
      <c r="P66" s="26" t="s">
        <v>498</v>
      </c>
      <c r="Q66" s="26" t="s">
        <v>499</v>
      </c>
      <c r="R66" s="26" t="s">
        <v>500</v>
      </c>
      <c r="S66" s="26" t="s">
        <v>501</v>
      </c>
      <c r="T66" s="26" t="s">
        <v>502</v>
      </c>
    </row>
    <row r="67" spans="1:20" x14ac:dyDescent="0.25">
      <c r="A67" t="s">
        <v>503</v>
      </c>
      <c r="B67" s="26" t="s">
        <v>504</v>
      </c>
      <c r="C67" s="27"/>
      <c r="D67" s="55" t="s">
        <v>29</v>
      </c>
      <c r="E67" s="26" t="s">
        <v>386</v>
      </c>
      <c r="F67" s="33"/>
      <c r="G67" s="26" t="s">
        <v>505</v>
      </c>
      <c r="H67" s="56">
        <v>10</v>
      </c>
      <c r="I67" s="32"/>
      <c r="J67" s="11">
        <v>3</v>
      </c>
      <c r="K67" s="12" t="s">
        <v>506</v>
      </c>
      <c r="L67" s="33"/>
      <c r="M67" s="26" t="s">
        <v>507</v>
      </c>
      <c r="N67" s="26" t="s">
        <v>508</v>
      </c>
      <c r="O67" s="26" t="s">
        <v>509</v>
      </c>
      <c r="P67" s="26" t="s">
        <v>510</v>
      </c>
      <c r="Q67" s="26" t="s">
        <v>499</v>
      </c>
      <c r="R67" s="26" t="s">
        <v>511</v>
      </c>
      <c r="S67" s="26" t="s">
        <v>133</v>
      </c>
      <c r="T67" s="26" t="s">
        <v>512</v>
      </c>
    </row>
    <row r="68" spans="2:38" s="40" customFormat="1" x14ac:dyDescent="0.25">
      <c r="B68" s="42" t="s">
        <v>513</v>
      </c>
      <c r="C68" s="43"/>
      <c r="D68" s="64" t="s">
        <v>29</v>
      </c>
      <c r="E68" s="42" t="s">
        <v>386</v>
      </c>
      <c r="F68" s="44"/>
      <c r="G68" s="42" t="s">
        <v>514</v>
      </c>
      <c r="H68" s="57">
        <v>10</v>
      </c>
      <c r="I68" s="46"/>
      <c r="J68" s="47">
        <v>0</v>
      </c>
      <c r="K68" s="48" t="s">
        <v>393</v>
      </c>
      <c r="L68" s="44"/>
      <c r="M68" s="42"/>
      <c r="N68" s="42"/>
      <c r="O68" s="42"/>
      <c r="P68" s="42"/>
      <c r="Q68" s="42"/>
      <c r="R68" s="42"/>
      <c r="S68" s="42"/>
      <c r="T68" s="42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2:38" s="40" customFormat="1" x14ac:dyDescent="0.25">
      <c r="B69" s="42" t="s">
        <v>515</v>
      </c>
      <c r="C69" s="43"/>
      <c r="D69" s="64" t="s">
        <v>29</v>
      </c>
      <c r="E69" s="42" t="s">
        <v>386</v>
      </c>
      <c r="F69" s="44"/>
      <c r="G69" s="42" t="s">
        <v>516</v>
      </c>
      <c r="H69" s="57">
        <v>20</v>
      </c>
      <c r="I69" s="46"/>
      <c r="J69" s="47">
        <v>0</v>
      </c>
      <c r="K69" s="48" t="s">
        <v>393</v>
      </c>
      <c r="L69" s="44" t="s">
        <v>23</v>
      </c>
      <c r="M69" s="42"/>
      <c r="N69" s="42"/>
      <c r="O69" s="42"/>
      <c r="P69" s="42"/>
      <c r="Q69" s="42"/>
      <c r="R69" s="42"/>
      <c r="S69" s="42"/>
      <c r="T69" s="42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2:38" s="40" customFormat="1" x14ac:dyDescent="0.25">
      <c r="B70" s="42" t="s">
        <v>517</v>
      </c>
      <c r="C70" s="43"/>
      <c r="D70" s="64" t="s">
        <v>29</v>
      </c>
      <c r="E70" s="42" t="s">
        <v>386</v>
      </c>
      <c r="F70" s="44"/>
      <c r="G70" s="42" t="s">
        <v>518</v>
      </c>
      <c r="H70" s="57">
        <v>20</v>
      </c>
      <c r="I70" s="46"/>
      <c r="J70" s="47">
        <v>0</v>
      </c>
      <c r="K70" s="48" t="s">
        <v>393</v>
      </c>
      <c r="L70" s="44"/>
      <c r="M70" s="42"/>
      <c r="N70" s="42"/>
      <c r="O70" s="42"/>
      <c r="P70" s="42"/>
      <c r="Q70" s="42"/>
      <c r="R70" s="42"/>
      <c r="S70" s="42"/>
      <c r="T70" s="42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1:20" x14ac:dyDescent="0.25">
      <c r="A71" t="s">
        <v>519</v>
      </c>
      <c r="B71" s="26" t="s">
        <v>520</v>
      </c>
      <c r="C71" s="27"/>
      <c r="D71" s="26" t="s">
        <v>29</v>
      </c>
      <c r="E71" s="29" t="s">
        <v>521</v>
      </c>
      <c r="F71" s="30"/>
      <c r="G71" s="26" t="s">
        <v>522</v>
      </c>
      <c r="H71" s="31">
        <v>24</v>
      </c>
      <c r="I71" s="32" t="s">
        <v>523</v>
      </c>
      <c r="J71" s="11">
        <v>2</v>
      </c>
      <c r="K71" s="12">
        <v>2461994</v>
      </c>
      <c r="L71" s="33" t="s">
        <v>524</v>
      </c>
      <c r="M71" s="26" t="s">
        <v>525</v>
      </c>
      <c r="N71" s="26" t="s">
        <v>200</v>
      </c>
      <c r="O71" s="26" t="s">
        <v>526</v>
      </c>
      <c r="P71" s="26"/>
      <c r="Q71" s="26"/>
      <c r="R71" s="26"/>
      <c r="S71" s="26"/>
      <c r="T71" s="26"/>
    </row>
    <row r="72" spans="1:38" s="40" customFormat="1" x14ac:dyDescent="0.25">
      <c r="A72" s="4"/>
      <c r="B72" s="26" t="s">
        <v>527</v>
      </c>
      <c r="C72" s="27"/>
      <c r="D72" s="26" t="s">
        <v>29</v>
      </c>
      <c r="E72" s="29" t="s">
        <v>521</v>
      </c>
      <c r="F72" s="30"/>
      <c r="G72" s="26" t="s">
        <v>528</v>
      </c>
      <c r="H72" s="31">
        <v>24</v>
      </c>
      <c r="I72" s="32"/>
      <c r="J72" s="15">
        <v>0</v>
      </c>
      <c r="K72" s="12"/>
      <c r="L72" s="33" t="s">
        <v>529</v>
      </c>
      <c r="M72" s="26"/>
      <c r="N72" s="26"/>
      <c r="O72" s="26"/>
      <c r="P72" s="26"/>
      <c r="Q72" s="26"/>
      <c r="R72" s="26"/>
      <c r="S72" s="26"/>
      <c r="T72" s="26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20" x14ac:dyDescent="0.25">
      <c r="A73" s="65"/>
      <c r="B73" s="66" t="s">
        <v>530</v>
      </c>
      <c r="C73" s="67"/>
      <c r="D73" s="66" t="s">
        <v>29</v>
      </c>
      <c r="E73" s="68" t="s">
        <v>521</v>
      </c>
      <c r="F73" s="69"/>
      <c r="G73" s="66" t="s">
        <v>531</v>
      </c>
      <c r="H73" s="70">
        <v>24</v>
      </c>
      <c r="I73" s="71" t="s">
        <v>532</v>
      </c>
      <c r="J73" s="15">
        <v>0</v>
      </c>
      <c r="K73" s="72" t="s">
        <v>533</v>
      </c>
      <c r="L73" s="73"/>
      <c r="M73" s="66" t="s">
        <v>34</v>
      </c>
      <c r="N73" s="66" t="s">
        <v>534</v>
      </c>
      <c r="O73" s="66" t="s">
        <v>535</v>
      </c>
      <c r="P73" s="66" t="s">
        <v>536</v>
      </c>
      <c r="Q73" s="66" t="s">
        <v>537</v>
      </c>
      <c r="R73" s="66" t="s">
        <v>538</v>
      </c>
      <c r="S73" s="66" t="s">
        <v>539</v>
      </c>
      <c r="T73" s="66" t="s">
        <v>379</v>
      </c>
    </row>
    <row r="74" spans="2:20" x14ac:dyDescent="0.25">
      <c r="B74" s="6" t="s">
        <v>540</v>
      </c>
      <c r="C74" s="7"/>
      <c r="D74" s="6" t="s">
        <v>29</v>
      </c>
      <c r="E74" s="74" t="s">
        <v>521</v>
      </c>
      <c r="F74" s="75"/>
      <c r="G74" s="6" t="s">
        <v>541</v>
      </c>
      <c r="H74" s="50">
        <v>24</v>
      </c>
      <c r="I74" s="10"/>
      <c r="J74" s="51">
        <v>0</v>
      </c>
      <c r="K74" s="52"/>
      <c r="L74" s="8"/>
      <c r="M74" s="6"/>
      <c r="N74" s="6"/>
      <c r="O74" s="6"/>
      <c r="P74" s="6"/>
      <c r="Q74" s="6"/>
      <c r="R74" s="6"/>
      <c r="S74" s="6"/>
      <c r="T74" s="6"/>
    </row>
    <row r="75" spans="1:38" s="40" customFormat="1" x14ac:dyDescent="0.25">
      <c r="A75" s="4" t="s">
        <v>542</v>
      </c>
      <c r="B75" s="26" t="s">
        <v>543</v>
      </c>
      <c r="C75" s="27">
        <v>8.1</v>
      </c>
      <c r="D75" s="26" t="s">
        <v>29</v>
      </c>
      <c r="E75" s="29" t="s">
        <v>521</v>
      </c>
      <c r="F75" s="30"/>
      <c r="G75" s="26" t="s">
        <v>544</v>
      </c>
      <c r="H75" s="31">
        <v>24</v>
      </c>
      <c r="I75" s="32" t="s">
        <v>532</v>
      </c>
      <c r="J75" s="11">
        <v>3</v>
      </c>
      <c r="K75" s="12" t="s">
        <v>440</v>
      </c>
      <c r="L75" s="33" t="s">
        <v>545</v>
      </c>
      <c r="M75" s="26" t="s">
        <v>546</v>
      </c>
      <c r="N75" s="26" t="s">
        <v>547</v>
      </c>
      <c r="O75" s="26" t="s">
        <v>548</v>
      </c>
      <c r="P75" s="26" t="s">
        <v>255</v>
      </c>
      <c r="Q75" s="26" t="s">
        <v>379</v>
      </c>
      <c r="R75" s="26" t="s">
        <v>63</v>
      </c>
      <c r="S75" s="26"/>
      <c r="T75" s="26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1:38" s="40" customFormat="1" x14ac:dyDescent="0.25">
      <c r="A76" s="4" t="s">
        <v>549</v>
      </c>
      <c r="B76" s="26" t="s">
        <v>550</v>
      </c>
      <c r="C76" s="27"/>
      <c r="D76" s="26" t="s">
        <v>29</v>
      </c>
      <c r="E76" s="29" t="s">
        <v>521</v>
      </c>
      <c r="F76" s="30"/>
      <c r="G76" s="26" t="s">
        <v>551</v>
      </c>
      <c r="H76" s="31">
        <v>20</v>
      </c>
      <c r="I76" s="32"/>
      <c r="J76" s="11">
        <v>3</v>
      </c>
      <c r="K76" s="12" t="s">
        <v>552</v>
      </c>
      <c r="L76" s="33" t="s">
        <v>553</v>
      </c>
      <c r="M76" s="26" t="s">
        <v>554</v>
      </c>
      <c r="N76" s="26"/>
      <c r="O76" s="26"/>
      <c r="P76" s="26"/>
      <c r="Q76" s="26"/>
      <c r="R76" s="26"/>
      <c r="S76" s="26"/>
      <c r="T76" s="26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20" x14ac:dyDescent="0.25">
      <c r="A77" t="s">
        <v>555</v>
      </c>
      <c r="B77" s="76" t="s">
        <v>556</v>
      </c>
      <c r="C77" s="77">
        <v>5</v>
      </c>
      <c r="D77" s="76" t="s">
        <v>557</v>
      </c>
      <c r="E77" s="76" t="s">
        <v>521</v>
      </c>
      <c r="F77" s="30"/>
      <c r="G77" s="76" t="s">
        <v>558</v>
      </c>
      <c r="H77" s="78">
        <v>24</v>
      </c>
      <c r="I77" s="38" t="s">
        <v>559</v>
      </c>
      <c r="J77" s="37">
        <v>5</v>
      </c>
      <c r="K77" s="79" t="s">
        <v>560</v>
      </c>
      <c r="L77" s="30"/>
      <c r="M77" s="76"/>
      <c r="N77" s="76"/>
      <c r="O77" s="76"/>
      <c r="P77" s="26"/>
      <c r="Q77" s="26"/>
      <c r="R77" s="26"/>
      <c r="S77" s="26"/>
      <c r="T77" s="26"/>
    </row>
    <row r="78" spans="1:38" s="40" customFormat="1" x14ac:dyDescent="0.25">
      <c r="A78" t="s">
        <v>561</v>
      </c>
      <c r="B78" s="76" t="s">
        <v>562</v>
      </c>
      <c r="C78" s="77"/>
      <c r="D78" s="76" t="s">
        <v>29</v>
      </c>
      <c r="E78" s="76" t="s">
        <v>521</v>
      </c>
      <c r="F78" s="30"/>
      <c r="G78" s="76" t="s">
        <v>563</v>
      </c>
      <c r="H78" s="78">
        <v>10</v>
      </c>
      <c r="I78" s="38" t="s">
        <v>559</v>
      </c>
      <c r="J78" s="37">
        <v>2</v>
      </c>
      <c r="K78" s="79" t="s">
        <v>560</v>
      </c>
      <c r="L78" s="30" t="s">
        <v>564</v>
      </c>
      <c r="M78" s="76" t="s">
        <v>88</v>
      </c>
      <c r="N78" s="76" t="s">
        <v>565</v>
      </c>
      <c r="O78" s="76" t="s">
        <v>442</v>
      </c>
      <c r="P78" s="26"/>
      <c r="Q78" s="26"/>
      <c r="R78" s="26"/>
      <c r="S78" s="26"/>
      <c r="T78" s="26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1:20" x14ac:dyDescent="0.25">
      <c r="A79" t="s">
        <v>566</v>
      </c>
      <c r="B79" s="26" t="s">
        <v>567</v>
      </c>
      <c r="C79" s="27"/>
      <c r="D79" s="26" t="s">
        <v>29</v>
      </c>
      <c r="E79" s="29" t="s">
        <v>521</v>
      </c>
      <c r="F79" s="30"/>
      <c r="G79" s="26" t="s">
        <v>568</v>
      </c>
      <c r="H79" s="31">
        <v>10</v>
      </c>
      <c r="I79" s="32"/>
      <c r="J79" s="11">
        <v>4</v>
      </c>
      <c r="K79" s="12" t="s">
        <v>569</v>
      </c>
      <c r="L79" s="33" t="s">
        <v>570</v>
      </c>
      <c r="M79" s="26"/>
      <c r="N79" s="26"/>
      <c r="O79" s="26"/>
      <c r="P79" s="26"/>
      <c r="Q79" s="26"/>
      <c r="R79" s="26"/>
      <c r="S79" s="26"/>
      <c r="T79" s="26"/>
    </row>
    <row r="80" spans="1:20" x14ac:dyDescent="0.25">
      <c r="A80" t="s">
        <v>571</v>
      </c>
      <c r="B80" s="26" t="s">
        <v>572</v>
      </c>
      <c r="C80" s="27"/>
      <c r="D80" s="26" t="s">
        <v>29</v>
      </c>
      <c r="E80" s="29" t="s">
        <v>521</v>
      </c>
      <c r="F80" s="30"/>
      <c r="G80" s="26" t="s">
        <v>573</v>
      </c>
      <c r="H80" s="31">
        <v>10</v>
      </c>
      <c r="I80" s="32"/>
      <c r="J80" s="11">
        <v>5</v>
      </c>
      <c r="K80" s="52" t="s">
        <v>574</v>
      </c>
      <c r="L80" s="33"/>
      <c r="M80" s="26"/>
      <c r="N80" s="26"/>
      <c r="O80" s="26"/>
      <c r="P80" s="26"/>
      <c r="Q80" s="26"/>
      <c r="R80" s="26"/>
      <c r="S80" s="26"/>
      <c r="T80" s="26"/>
    </row>
    <row r="81" spans="1:20" x14ac:dyDescent="0.25">
      <c r="A81" t="s">
        <v>575</v>
      </c>
      <c r="B81" s="76" t="s">
        <v>576</v>
      </c>
      <c r="C81" s="77">
        <v>6</v>
      </c>
      <c r="D81" s="76" t="s">
        <v>29</v>
      </c>
      <c r="E81" s="76" t="s">
        <v>521</v>
      </c>
      <c r="F81" s="30"/>
      <c r="G81" s="80" t="s">
        <v>577</v>
      </c>
      <c r="H81" s="81">
        <v>24</v>
      </c>
      <c r="I81" s="82" t="s">
        <v>578</v>
      </c>
      <c r="J81" s="83">
        <v>1</v>
      </c>
      <c r="K81" s="79" t="s">
        <v>579</v>
      </c>
      <c r="L81" s="30" t="s">
        <v>580</v>
      </c>
      <c r="M81" s="76" t="s">
        <v>581</v>
      </c>
      <c r="N81" s="76" t="s">
        <v>582</v>
      </c>
      <c r="O81" s="76" t="s">
        <v>583</v>
      </c>
      <c r="P81" s="26"/>
      <c r="Q81" s="26"/>
      <c r="R81" s="26"/>
      <c r="S81" s="26"/>
      <c r="T81" s="26"/>
    </row>
    <row r="82" spans="1:20" x14ac:dyDescent="0.25">
      <c r="A82" t="s">
        <v>584</v>
      </c>
      <c r="B82" s="76" t="s">
        <v>585</v>
      </c>
      <c r="C82" s="77"/>
      <c r="D82" s="76" t="s">
        <v>29</v>
      </c>
      <c r="E82" s="76" t="s">
        <v>521</v>
      </c>
      <c r="F82" s="30"/>
      <c r="G82" s="80" t="s">
        <v>586</v>
      </c>
      <c r="H82" s="81">
        <v>24</v>
      </c>
      <c r="I82" s="82" t="s">
        <v>578</v>
      </c>
      <c r="J82" s="83">
        <v>1</v>
      </c>
      <c r="K82" s="79" t="s">
        <v>587</v>
      </c>
      <c r="L82" s="30" t="s">
        <v>580</v>
      </c>
      <c r="M82" s="76" t="s">
        <v>188</v>
      </c>
      <c r="N82" s="76" t="s">
        <v>588</v>
      </c>
      <c r="O82" s="76" t="s">
        <v>589</v>
      </c>
      <c r="P82" s="26"/>
      <c r="Q82" s="26"/>
      <c r="R82" s="26"/>
      <c r="S82" s="26"/>
      <c r="T82" s="26"/>
    </row>
    <row r="83" spans="1:38" s="40" customFormat="1" x14ac:dyDescent="0.25">
      <c r="A83" t="s">
        <v>590</v>
      </c>
      <c r="B83" s="76" t="s">
        <v>591</v>
      </c>
      <c r="C83" s="77">
        <v>7</v>
      </c>
      <c r="D83" s="76" t="s">
        <v>29</v>
      </c>
      <c r="E83" s="76" t="s">
        <v>521</v>
      </c>
      <c r="F83" s="30"/>
      <c r="G83" s="80" t="s">
        <v>592</v>
      </c>
      <c r="H83" s="81">
        <v>24</v>
      </c>
      <c r="I83" s="82" t="s">
        <v>578</v>
      </c>
      <c r="J83" s="83">
        <v>2</v>
      </c>
      <c r="K83" s="79" t="s">
        <v>579</v>
      </c>
      <c r="L83" s="30" t="s">
        <v>580</v>
      </c>
      <c r="M83" s="76" t="s">
        <v>593</v>
      </c>
      <c r="N83" s="76"/>
      <c r="O83" s="76"/>
      <c r="P83" s="26"/>
      <c r="Q83" s="26"/>
      <c r="R83" s="26"/>
      <c r="S83" s="26"/>
      <c r="T83" s="26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20" x14ac:dyDescent="0.25">
      <c r="A84" t="s">
        <v>594</v>
      </c>
      <c r="B84" s="6" t="s">
        <v>595</v>
      </c>
      <c r="C84" s="7"/>
      <c r="D84" s="6" t="s">
        <v>29</v>
      </c>
      <c r="E84" s="74" t="s">
        <v>521</v>
      </c>
      <c r="F84" s="75"/>
      <c r="G84" s="6" t="s">
        <v>596</v>
      </c>
      <c r="H84" s="50">
        <v>20</v>
      </c>
      <c r="I84" s="10" t="s">
        <v>597</v>
      </c>
      <c r="J84" s="51">
        <v>3</v>
      </c>
      <c r="K84" s="52" t="s">
        <v>356</v>
      </c>
      <c r="L84" s="8" t="s">
        <v>598</v>
      </c>
      <c r="M84" s="6" t="s">
        <v>599</v>
      </c>
      <c r="N84" s="6" t="s">
        <v>600</v>
      </c>
      <c r="O84" s="6"/>
      <c r="P84" s="6" t="s">
        <v>118</v>
      </c>
      <c r="Q84" s="6" t="s">
        <v>601</v>
      </c>
      <c r="R84" s="6" t="s">
        <v>602</v>
      </c>
      <c r="S84" s="6" t="s">
        <v>539</v>
      </c>
      <c r="T84" s="6" t="s">
        <v>603</v>
      </c>
    </row>
    <row r="85" spans="2:38" s="16" customFormat="1" x14ac:dyDescent="0.25">
      <c r="B85" s="17" t="s">
        <v>604</v>
      </c>
      <c r="C85" s="18"/>
      <c r="D85" s="17" t="s">
        <v>29</v>
      </c>
      <c r="E85" s="20" t="s">
        <v>521</v>
      </c>
      <c r="F85" s="21"/>
      <c r="G85" s="17" t="s">
        <v>605</v>
      </c>
      <c r="H85" s="22">
        <v>24</v>
      </c>
      <c r="I85" s="23" t="s">
        <v>606</v>
      </c>
      <c r="J85" s="15">
        <v>0</v>
      </c>
      <c r="K85" s="84" t="s">
        <v>607</v>
      </c>
      <c r="L85" s="25"/>
      <c r="M85" s="17"/>
      <c r="N85" s="17"/>
      <c r="O85" s="17"/>
      <c r="P85" s="17"/>
      <c r="Q85" s="17"/>
      <c r="R85" s="17"/>
      <c r="S85" s="17"/>
      <c r="T85" s="17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20" x14ac:dyDescent="0.25">
      <c r="A86" s="4" t="s">
        <v>608</v>
      </c>
      <c r="B86" s="26" t="s">
        <v>609</v>
      </c>
      <c r="C86" s="27"/>
      <c r="D86" s="26" t="s">
        <v>29</v>
      </c>
      <c r="E86" s="29" t="s">
        <v>521</v>
      </c>
      <c r="F86" s="30"/>
      <c r="G86" s="26" t="s">
        <v>610</v>
      </c>
      <c r="H86" s="31">
        <v>20</v>
      </c>
      <c r="I86" s="32"/>
      <c r="J86" s="11">
        <v>1</v>
      </c>
      <c r="K86" s="12" t="s">
        <v>611</v>
      </c>
      <c r="L86" s="33" t="s">
        <v>454</v>
      </c>
      <c r="M86" s="26" t="s">
        <v>612</v>
      </c>
      <c r="N86" s="26" t="s">
        <v>612</v>
      </c>
      <c r="O86" s="26" t="s">
        <v>613</v>
      </c>
      <c r="P86" s="26" t="s">
        <v>464</v>
      </c>
      <c r="Q86" s="26"/>
      <c r="R86" s="26" t="s">
        <v>614</v>
      </c>
      <c r="S86" s="26" t="s">
        <v>615</v>
      </c>
      <c r="T86" s="26" t="s">
        <v>616</v>
      </c>
    </row>
    <row r="87" spans="1:20" x14ac:dyDescent="0.25">
      <c r="A87" s="40"/>
      <c r="B87" s="85" t="s">
        <v>617</v>
      </c>
      <c r="C87" s="86"/>
      <c r="D87" s="85" t="s">
        <v>29</v>
      </c>
      <c r="E87" s="85" t="s">
        <v>521</v>
      </c>
      <c r="F87" s="87"/>
      <c r="G87" s="85" t="s">
        <v>618</v>
      </c>
      <c r="H87" s="88">
        <v>8</v>
      </c>
      <c r="I87" s="89"/>
      <c r="J87" s="90">
        <v>0</v>
      </c>
      <c r="K87" s="91" t="s">
        <v>619</v>
      </c>
      <c r="L87" s="87"/>
      <c r="M87" s="85"/>
      <c r="N87" s="85"/>
      <c r="O87" s="85"/>
      <c r="P87" s="42"/>
      <c r="Q87" s="42"/>
      <c r="R87" s="42"/>
      <c r="S87" s="42"/>
      <c r="T87" s="42"/>
    </row>
    <row r="88" spans="1:38" s="40" customFormat="1" x14ac:dyDescent="0.25">
      <c r="A88" s="16" t="s">
        <v>620</v>
      </c>
      <c r="B88" s="92" t="s">
        <v>621</v>
      </c>
      <c r="C88" s="93"/>
      <c r="D88" s="92" t="s">
        <v>29</v>
      </c>
      <c r="E88" s="92" t="s">
        <v>521</v>
      </c>
      <c r="F88" s="21"/>
      <c r="G88" s="92" t="s">
        <v>622</v>
      </c>
      <c r="H88" s="94">
        <v>6</v>
      </c>
      <c r="I88" s="95" t="s">
        <v>623</v>
      </c>
      <c r="J88" s="96">
        <v>2</v>
      </c>
      <c r="K88" s="97" t="s">
        <v>624</v>
      </c>
      <c r="L88" s="21" t="s">
        <v>625</v>
      </c>
      <c r="M88" s="92" t="s">
        <v>191</v>
      </c>
      <c r="N88" s="92" t="s">
        <v>626</v>
      </c>
      <c r="O88" s="92" t="s">
        <v>627</v>
      </c>
      <c r="P88" s="17" t="s">
        <v>628</v>
      </c>
      <c r="Q88" s="17"/>
      <c r="R88" s="17"/>
      <c r="S88" s="17"/>
      <c r="T88" s="17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2:20" s="40" customFormat="1" x14ac:dyDescent="0.25">
      <c r="B89" s="85" t="s">
        <v>629</v>
      </c>
      <c r="C89" s="86"/>
      <c r="D89" s="85" t="s">
        <v>29</v>
      </c>
      <c r="E89" s="85" t="s">
        <v>521</v>
      </c>
      <c r="F89" s="87"/>
      <c r="G89" s="85" t="s">
        <v>630</v>
      </c>
      <c r="H89" s="88">
        <v>6</v>
      </c>
      <c r="I89" s="89" t="s">
        <v>631</v>
      </c>
      <c r="J89" s="90">
        <v>0</v>
      </c>
      <c r="K89" s="98" t="s">
        <v>624</v>
      </c>
      <c r="L89" s="87"/>
      <c r="M89" s="85"/>
      <c r="N89" s="85"/>
      <c r="O89" s="85"/>
      <c r="P89" s="42"/>
      <c r="Q89" s="42"/>
      <c r="R89" s="42"/>
      <c r="S89" s="42"/>
      <c r="T89" s="42"/>
    </row>
    <row r="90" spans="1:38" s="40" customFormat="1" x14ac:dyDescent="0.25">
      <c r="A90" s="4" t="s">
        <v>632</v>
      </c>
      <c r="B90" s="26" t="s">
        <v>633</v>
      </c>
      <c r="C90" s="27">
        <v>7.9</v>
      </c>
      <c r="D90" s="26" t="s">
        <v>29</v>
      </c>
      <c r="E90" s="26" t="s">
        <v>634</v>
      </c>
      <c r="F90" s="33"/>
      <c r="G90" s="26" t="s">
        <v>635</v>
      </c>
      <c r="H90" s="31">
        <v>10</v>
      </c>
      <c r="I90" s="32"/>
      <c r="J90" s="11">
        <v>4</v>
      </c>
      <c r="K90" s="12" t="s">
        <v>636</v>
      </c>
      <c r="L90" s="33" t="s">
        <v>207</v>
      </c>
      <c r="M90" s="26" t="s">
        <v>426</v>
      </c>
      <c r="N90" s="26" t="s">
        <v>405</v>
      </c>
      <c r="O90" s="26"/>
      <c r="P90" s="26" t="s">
        <v>257</v>
      </c>
      <c r="Q90" s="26" t="s">
        <v>64</v>
      </c>
      <c r="R90" s="26" t="s">
        <v>285</v>
      </c>
      <c r="S90" s="26" t="s">
        <v>512</v>
      </c>
      <c r="T90" s="28" t="s">
        <v>637</v>
      </c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1:38" s="40" customFormat="1" x14ac:dyDescent="0.25">
      <c r="A91" s="4" t="s">
        <v>638</v>
      </c>
      <c r="B91" s="26" t="s">
        <v>639</v>
      </c>
      <c r="C91" s="27">
        <v>8.1</v>
      </c>
      <c r="D91" s="26" t="s">
        <v>29</v>
      </c>
      <c r="E91" s="26" t="s">
        <v>634</v>
      </c>
      <c r="F91" s="33"/>
      <c r="G91" s="26" t="s">
        <v>640</v>
      </c>
      <c r="H91" s="31">
        <v>5</v>
      </c>
      <c r="I91" s="32" t="s">
        <v>623</v>
      </c>
      <c r="J91" s="11">
        <v>5</v>
      </c>
      <c r="K91" s="12" t="s">
        <v>460</v>
      </c>
      <c r="L91" s="33" t="s">
        <v>641</v>
      </c>
      <c r="M91" s="26" t="s">
        <v>642</v>
      </c>
      <c r="N91" s="26" t="s">
        <v>425</v>
      </c>
      <c r="O91" s="26" t="s">
        <v>65</v>
      </c>
      <c r="P91" s="26" t="s">
        <v>465</v>
      </c>
      <c r="Q91" s="26"/>
      <c r="R91" s="26"/>
      <c r="S91" s="26"/>
      <c r="T91" s="26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 s="40" customFormat="1" x14ac:dyDescent="0.25">
      <c r="A92" t="s">
        <v>643</v>
      </c>
      <c r="B92" s="26" t="s">
        <v>644</v>
      </c>
      <c r="C92" s="27"/>
      <c r="D92" s="26" t="s">
        <v>29</v>
      </c>
      <c r="E92" s="26" t="s">
        <v>634</v>
      </c>
      <c r="F92" s="33"/>
      <c r="G92" s="26" t="s">
        <v>645</v>
      </c>
      <c r="H92" s="31">
        <v>25</v>
      </c>
      <c r="I92" s="32"/>
      <c r="J92" s="11">
        <v>2</v>
      </c>
      <c r="K92" s="12" t="s">
        <v>646</v>
      </c>
      <c r="L92" s="33" t="s">
        <v>647</v>
      </c>
      <c r="M92" s="26" t="s">
        <v>648</v>
      </c>
      <c r="N92" s="26" t="s">
        <v>649</v>
      </c>
      <c r="O92" s="26" t="s">
        <v>650</v>
      </c>
      <c r="P92" s="26" t="s">
        <v>47</v>
      </c>
      <c r="Q92" s="26" t="s">
        <v>651</v>
      </c>
      <c r="R92" s="26" t="s">
        <v>652</v>
      </c>
      <c r="S92" s="26"/>
      <c r="T92" s="26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20" s="16" customFormat="1" x14ac:dyDescent="0.25">
      <c r="A93" s="16" t="s">
        <v>653</v>
      </c>
      <c r="B93" s="17" t="s">
        <v>654</v>
      </c>
      <c r="C93" s="18">
        <v>2</v>
      </c>
      <c r="D93" s="17"/>
      <c r="E93" s="17" t="s">
        <v>634</v>
      </c>
      <c r="F93" s="25"/>
      <c r="G93" s="17" t="s">
        <v>655</v>
      </c>
      <c r="H93" s="22">
        <v>100</v>
      </c>
      <c r="I93" s="23"/>
      <c r="J93" s="15">
        <v>0</v>
      </c>
      <c r="K93" s="24" t="s">
        <v>656</v>
      </c>
      <c r="L93" s="25" t="s">
        <v>404</v>
      </c>
      <c r="M93" s="17"/>
      <c r="N93" s="17" t="s">
        <v>206</v>
      </c>
      <c r="O93" s="17" t="s">
        <v>248</v>
      </c>
      <c r="P93" s="17" t="s">
        <v>657</v>
      </c>
      <c r="Q93" s="17" t="s">
        <v>658</v>
      </c>
      <c r="R93" s="17" t="s">
        <v>659</v>
      </c>
      <c r="S93" s="17" t="s">
        <v>473</v>
      </c>
      <c r="T93" s="17" t="s">
        <v>660</v>
      </c>
    </row>
    <row r="94" spans="1:20" x14ac:dyDescent="0.25">
      <c r="A94" t="s">
        <v>661</v>
      </c>
      <c r="B94" s="26" t="s">
        <v>662</v>
      </c>
      <c r="C94" s="27"/>
      <c r="D94" s="26" t="s">
        <v>29</v>
      </c>
      <c r="E94" s="26" t="s">
        <v>634</v>
      </c>
      <c r="F94" s="33"/>
      <c r="G94" s="26" t="s">
        <v>663</v>
      </c>
      <c r="H94" s="31">
        <v>24</v>
      </c>
      <c r="I94" s="32"/>
      <c r="J94" s="11">
        <v>2</v>
      </c>
      <c r="K94" s="12" t="s">
        <v>664</v>
      </c>
      <c r="L94" s="33" t="s">
        <v>665</v>
      </c>
      <c r="M94" s="26" t="s">
        <v>666</v>
      </c>
      <c r="N94" s="26" t="s">
        <v>667</v>
      </c>
      <c r="O94" s="26"/>
      <c r="P94" s="26"/>
      <c r="Q94" s="26"/>
      <c r="R94" s="26"/>
      <c r="S94" s="26"/>
      <c r="T94" s="26"/>
    </row>
    <row r="95" spans="1:20" x14ac:dyDescent="0.25">
      <c r="A95" t="s">
        <v>638</v>
      </c>
      <c r="B95" s="26" t="s">
        <v>668</v>
      </c>
      <c r="C95" s="35">
        <v>8.1</v>
      </c>
      <c r="D95" s="26" t="s">
        <v>29</v>
      </c>
      <c r="E95" s="26" t="s">
        <v>634</v>
      </c>
      <c r="F95" s="33"/>
      <c r="G95" s="26" t="s">
        <v>669</v>
      </c>
      <c r="H95" s="31">
        <v>5</v>
      </c>
      <c r="I95" s="32" t="s">
        <v>670</v>
      </c>
      <c r="J95" s="15">
        <v>0</v>
      </c>
      <c r="K95" s="12" t="s">
        <v>671</v>
      </c>
      <c r="L95" s="33" t="s">
        <v>370</v>
      </c>
      <c r="M95" s="26" t="s">
        <v>672</v>
      </c>
      <c r="N95" s="26" t="s">
        <v>512</v>
      </c>
      <c r="O95" s="26" t="s">
        <v>673</v>
      </c>
      <c r="P95" s="26" t="s">
        <v>470</v>
      </c>
      <c r="Q95" s="26"/>
      <c r="R95" s="26" t="s">
        <v>259</v>
      </c>
      <c r="S95" s="26" t="s">
        <v>674</v>
      </c>
      <c r="T95" s="26" t="s">
        <v>675</v>
      </c>
    </row>
    <row r="96" spans="1:20" s="14" customFormat="1" x14ac:dyDescent="0.25">
      <c r="A96" t="s">
        <v>676</v>
      </c>
      <c r="B96" s="26" t="s">
        <v>677</v>
      </c>
      <c r="C96" s="27"/>
      <c r="D96" s="26" t="s">
        <v>29</v>
      </c>
      <c r="E96" s="26" t="s">
        <v>634</v>
      </c>
      <c r="F96" s="33"/>
      <c r="G96" s="26" t="s">
        <v>678</v>
      </c>
      <c r="H96" s="31">
        <v>24</v>
      </c>
      <c r="I96" s="32"/>
      <c r="J96" s="11">
        <v>1</v>
      </c>
      <c r="K96" s="12" t="s">
        <v>679</v>
      </c>
      <c r="L96" s="33" t="s">
        <v>680</v>
      </c>
      <c r="M96" s="26" t="s">
        <v>681</v>
      </c>
      <c r="N96" s="26" t="s">
        <v>547</v>
      </c>
      <c r="O96" s="26" t="s">
        <v>682</v>
      </c>
      <c r="P96" s="26" t="s">
        <v>613</v>
      </c>
      <c r="Q96" s="26"/>
      <c r="R96" s="26"/>
      <c r="S96" s="26"/>
      <c r="T96" s="26"/>
    </row>
    <row r="97" spans="1:38" s="16" customFormat="1" x14ac:dyDescent="0.25">
      <c r="A97" s="4" t="s">
        <v>683</v>
      </c>
      <c r="B97" s="26" t="s">
        <v>684</v>
      </c>
      <c r="C97" s="27"/>
      <c r="D97" s="26" t="s">
        <v>29</v>
      </c>
      <c r="E97" s="26" t="s">
        <v>634</v>
      </c>
      <c r="F97" s="33"/>
      <c r="G97" s="26" t="s">
        <v>685</v>
      </c>
      <c r="H97" s="31">
        <v>24</v>
      </c>
      <c r="I97" s="32"/>
      <c r="J97" s="11">
        <v>1</v>
      </c>
      <c r="K97" s="12" t="s">
        <v>686</v>
      </c>
      <c r="L97" s="33" t="s">
        <v>237</v>
      </c>
      <c r="M97" s="26" t="s">
        <v>687</v>
      </c>
      <c r="N97" s="26" t="s">
        <v>682</v>
      </c>
      <c r="O97" s="26" t="s">
        <v>616</v>
      </c>
      <c r="P97" s="26" t="s">
        <v>370</v>
      </c>
      <c r="Q97" s="26"/>
      <c r="R97" s="26"/>
      <c r="S97" s="26"/>
      <c r="T97" s="26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1:20" s="14" customFormat="1" x14ac:dyDescent="0.25">
      <c r="A98" s="4" t="s">
        <v>688</v>
      </c>
      <c r="B98" s="26" t="s">
        <v>689</v>
      </c>
      <c r="C98" s="27"/>
      <c r="D98" s="26" t="s">
        <v>29</v>
      </c>
      <c r="E98" s="26" t="s">
        <v>634</v>
      </c>
      <c r="F98" s="33"/>
      <c r="G98" s="26" t="s">
        <v>690</v>
      </c>
      <c r="H98" s="31">
        <v>24</v>
      </c>
      <c r="I98" s="32"/>
      <c r="J98" s="11">
        <v>2</v>
      </c>
      <c r="K98" s="12" t="s">
        <v>691</v>
      </c>
      <c r="L98" s="33" t="s">
        <v>692</v>
      </c>
      <c r="M98" s="26" t="s">
        <v>693</v>
      </c>
      <c r="N98" s="26" t="s">
        <v>214</v>
      </c>
      <c r="O98" s="26" t="s">
        <v>682</v>
      </c>
      <c r="P98" s="26"/>
      <c r="Q98" s="26"/>
      <c r="R98" s="26"/>
      <c r="S98" s="26"/>
      <c r="T98" s="26"/>
    </row>
    <row r="99" spans="1:20" s="14" customFormat="1" x14ac:dyDescent="0.25">
      <c r="A99" s="16"/>
      <c r="B99" s="17" t="s">
        <v>694</v>
      </c>
      <c r="C99" s="18"/>
      <c r="D99" s="99" t="s">
        <v>29</v>
      </c>
      <c r="E99" s="17" t="s">
        <v>634</v>
      </c>
      <c r="F99" s="25"/>
      <c r="G99" s="17" t="s">
        <v>695</v>
      </c>
      <c r="H99" s="100">
        <v>5</v>
      </c>
      <c r="I99" s="23" t="s">
        <v>696</v>
      </c>
      <c r="J99" s="47">
        <v>0</v>
      </c>
      <c r="K99" s="24"/>
      <c r="L99" s="25" t="s">
        <v>697</v>
      </c>
      <c r="M99" s="17" t="s">
        <v>698</v>
      </c>
      <c r="N99" s="17" t="s">
        <v>44</v>
      </c>
      <c r="O99" s="17"/>
      <c r="P99" s="17"/>
      <c r="Q99" s="17"/>
      <c r="R99" s="17"/>
      <c r="S99" s="17"/>
      <c r="T99" s="17"/>
    </row>
    <row r="100" spans="1:38" s="16" customFormat="1" x14ac:dyDescent="0.25">
      <c r="A100" s="16" t="s">
        <v>699</v>
      </c>
      <c r="B100" s="17" t="s">
        <v>700</v>
      </c>
      <c r="C100" s="18">
        <v>6</v>
      </c>
      <c r="D100" s="99" t="s">
        <v>29</v>
      </c>
      <c r="E100" s="17" t="s">
        <v>634</v>
      </c>
      <c r="F100" s="25"/>
      <c r="G100" s="17" t="s">
        <v>701</v>
      </c>
      <c r="H100" s="100">
        <v>5</v>
      </c>
      <c r="I100" s="23" t="s">
        <v>696</v>
      </c>
      <c r="J100" s="47">
        <v>0</v>
      </c>
      <c r="K100" s="24" t="s">
        <v>702</v>
      </c>
      <c r="L100" s="25" t="s">
        <v>703</v>
      </c>
      <c r="M100" s="17" t="s">
        <v>704</v>
      </c>
      <c r="N100" s="17" t="s">
        <v>705</v>
      </c>
      <c r="O100" s="17" t="s">
        <v>499</v>
      </c>
      <c r="P100" s="17" t="s">
        <v>232</v>
      </c>
      <c r="Q100" s="17" t="s">
        <v>706</v>
      </c>
      <c r="R100" s="17" t="s">
        <v>169</v>
      </c>
      <c r="S100" s="17"/>
      <c r="T100" s="17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2:20" s="14" customFormat="1" x14ac:dyDescent="0.25">
      <c r="B101" s="26" t="s">
        <v>707</v>
      </c>
      <c r="C101" s="27"/>
      <c r="D101" s="55" t="s">
        <v>29</v>
      </c>
      <c r="E101" s="26" t="s">
        <v>634</v>
      </c>
      <c r="F101" s="33"/>
      <c r="G101" s="26" t="s">
        <v>708</v>
      </c>
      <c r="H101" s="56">
        <v>5</v>
      </c>
      <c r="I101" s="32" t="s">
        <v>709</v>
      </c>
      <c r="J101" s="15">
        <v>0</v>
      </c>
      <c r="K101" s="12" t="s">
        <v>710</v>
      </c>
      <c r="L101" s="33" t="s">
        <v>711</v>
      </c>
      <c r="M101" s="26" t="s">
        <v>106</v>
      </c>
      <c r="N101" s="26" t="s">
        <v>712</v>
      </c>
      <c r="O101" s="26" t="s">
        <v>713</v>
      </c>
      <c r="P101" s="26" t="s">
        <v>714</v>
      </c>
      <c r="Q101" s="26"/>
      <c r="R101" s="26"/>
      <c r="S101" s="26"/>
      <c r="T101" s="26"/>
    </row>
    <row r="102" spans="1:20" x14ac:dyDescent="0.25">
      <c r="A102" s="4" t="s">
        <v>715</v>
      </c>
      <c r="B102" s="26" t="s">
        <v>716</v>
      </c>
      <c r="C102" s="27">
        <v>7.8</v>
      </c>
      <c r="D102" s="26" t="s">
        <v>5</v>
      </c>
      <c r="E102" s="26" t="s">
        <v>634</v>
      </c>
      <c r="F102" s="33"/>
      <c r="G102" s="26" t="s">
        <v>717</v>
      </c>
      <c r="H102" s="31">
        <v>25</v>
      </c>
      <c r="I102" s="32"/>
      <c r="J102" s="11">
        <v>2</v>
      </c>
      <c r="K102" s="12" t="s">
        <v>718</v>
      </c>
      <c r="L102" s="33" t="s">
        <v>719</v>
      </c>
      <c r="M102" s="26"/>
      <c r="N102" s="26" t="s">
        <v>698</v>
      </c>
      <c r="O102" s="26" t="s">
        <v>25</v>
      </c>
      <c r="P102" s="26" t="s">
        <v>720</v>
      </c>
      <c r="Q102" s="26" t="s">
        <v>721</v>
      </c>
      <c r="R102" s="26" t="s">
        <v>511</v>
      </c>
      <c r="S102" s="26" t="s">
        <v>722</v>
      </c>
      <c r="T102" s="26" t="s">
        <v>723</v>
      </c>
    </row>
    <row r="103" spans="1:20" s="14" customFormat="1" x14ac:dyDescent="0.25">
      <c r="A103" t="s">
        <v>638</v>
      </c>
      <c r="B103" s="26" t="s">
        <v>724</v>
      </c>
      <c r="C103" s="35">
        <v>7</v>
      </c>
      <c r="D103" s="26" t="s">
        <v>5</v>
      </c>
      <c r="E103" s="26" t="s">
        <v>634</v>
      </c>
      <c r="F103" s="33"/>
      <c r="G103" s="26" t="s">
        <v>725</v>
      </c>
      <c r="H103" s="31">
        <v>25</v>
      </c>
      <c r="I103" s="32" t="s">
        <v>726</v>
      </c>
      <c r="J103" s="15">
        <v>0</v>
      </c>
      <c r="K103" s="12" t="s">
        <v>727</v>
      </c>
      <c r="L103" s="33" t="s">
        <v>728</v>
      </c>
      <c r="M103" s="26" t="s">
        <v>428</v>
      </c>
      <c r="N103" s="26" t="s">
        <v>721</v>
      </c>
      <c r="O103" s="26" t="s">
        <v>729</v>
      </c>
      <c r="P103" s="26" t="s">
        <v>659</v>
      </c>
      <c r="Q103" s="26" t="s">
        <v>719</v>
      </c>
      <c r="R103" s="26" t="s">
        <v>553</v>
      </c>
      <c r="S103" s="26"/>
      <c r="T103" s="26" t="s">
        <v>25</v>
      </c>
    </row>
    <row r="104" spans="1:20" x14ac:dyDescent="0.25">
      <c r="A104" s="4" t="s">
        <v>638</v>
      </c>
      <c r="B104" s="6" t="s">
        <v>730</v>
      </c>
      <c r="C104" s="7"/>
      <c r="D104" s="101" t="s">
        <v>29</v>
      </c>
      <c r="E104" s="6" t="s">
        <v>634</v>
      </c>
      <c r="F104" s="8"/>
      <c r="G104" s="6" t="s">
        <v>731</v>
      </c>
      <c r="H104" s="9">
        <v>24</v>
      </c>
      <c r="I104" s="10" t="s">
        <v>732</v>
      </c>
      <c r="J104" s="51">
        <v>1</v>
      </c>
      <c r="K104" s="52" t="s">
        <v>733</v>
      </c>
      <c r="L104" s="8" t="s">
        <v>734</v>
      </c>
      <c r="M104" s="6" t="s">
        <v>735</v>
      </c>
      <c r="N104" s="6" t="s">
        <v>736</v>
      </c>
      <c r="O104" s="6"/>
      <c r="P104" s="6" t="s">
        <v>265</v>
      </c>
      <c r="Q104" s="6" t="s">
        <v>109</v>
      </c>
      <c r="R104" s="6" t="s">
        <v>737</v>
      </c>
      <c r="S104" s="6" t="s">
        <v>738</v>
      </c>
      <c r="T104" s="6" t="s">
        <v>650</v>
      </c>
    </row>
    <row r="105" spans="1:20" x14ac:dyDescent="0.25">
      <c r="A105" t="s">
        <v>739</v>
      </c>
      <c r="B105" s="6" t="s">
        <v>740</v>
      </c>
      <c r="C105" s="7">
        <v>8.3</v>
      </c>
      <c r="D105" s="101" t="s">
        <v>29</v>
      </c>
      <c r="E105" s="6" t="s">
        <v>634</v>
      </c>
      <c r="F105" s="8"/>
      <c r="G105" s="6" t="s">
        <v>741</v>
      </c>
      <c r="H105" s="9">
        <v>25</v>
      </c>
      <c r="I105" s="10"/>
      <c r="J105" s="11">
        <v>0</v>
      </c>
      <c r="K105" s="52" t="s">
        <v>742</v>
      </c>
      <c r="L105" s="8" t="s">
        <v>743</v>
      </c>
      <c r="M105" s="6" t="s">
        <v>45</v>
      </c>
      <c r="N105" s="6" t="s">
        <v>744</v>
      </c>
      <c r="O105" s="6" t="s">
        <v>652</v>
      </c>
      <c r="P105" s="6" t="s">
        <v>463</v>
      </c>
      <c r="Q105" s="6" t="s">
        <v>719</v>
      </c>
      <c r="R105" s="6" t="s">
        <v>464</v>
      </c>
      <c r="S105" s="6"/>
      <c r="T105" s="6"/>
    </row>
    <row r="106" spans="1:20" x14ac:dyDescent="0.25">
      <c r="A106" s="16"/>
      <c r="B106" s="17" t="s">
        <v>745</v>
      </c>
      <c r="C106" s="18"/>
      <c r="D106" s="17" t="s">
        <v>29</v>
      </c>
      <c r="E106" s="17" t="s">
        <v>746</v>
      </c>
      <c r="F106" s="25"/>
      <c r="G106" s="17" t="s">
        <v>747</v>
      </c>
      <c r="H106" s="22">
        <v>20</v>
      </c>
      <c r="I106" s="23"/>
      <c r="J106" s="15">
        <v>0</v>
      </c>
      <c r="K106" s="24" t="s">
        <v>748</v>
      </c>
      <c r="L106" s="25" t="s">
        <v>508</v>
      </c>
      <c r="M106" s="17" t="s">
        <v>749</v>
      </c>
      <c r="N106" s="17" t="s">
        <v>651</v>
      </c>
      <c r="O106" s="17"/>
      <c r="P106" s="17"/>
      <c r="Q106" s="17"/>
      <c r="R106" s="17"/>
      <c r="S106" s="17"/>
      <c r="T106" s="17"/>
    </row>
    <row r="107" spans="1:20" x14ac:dyDescent="0.25">
      <c r="A107" s="4" t="s">
        <v>750</v>
      </c>
      <c r="B107" s="26" t="s">
        <v>751</v>
      </c>
      <c r="C107" s="35">
        <v>18</v>
      </c>
      <c r="D107" s="26" t="s">
        <v>29</v>
      </c>
      <c r="E107" s="26" t="s">
        <v>746</v>
      </c>
      <c r="F107" s="33"/>
      <c r="G107" s="26" t="s">
        <v>752</v>
      </c>
      <c r="H107" s="31">
        <v>21</v>
      </c>
      <c r="I107" s="32"/>
      <c r="J107" s="11">
        <v>1</v>
      </c>
      <c r="K107" s="12" t="s">
        <v>440</v>
      </c>
      <c r="L107" s="33"/>
      <c r="M107" s="26" t="s">
        <v>753</v>
      </c>
      <c r="N107" s="26" t="s">
        <v>423</v>
      </c>
      <c r="O107" s="26" t="s">
        <v>754</v>
      </c>
      <c r="P107" s="26" t="s">
        <v>658</v>
      </c>
      <c r="Q107" s="26" t="s">
        <v>162</v>
      </c>
      <c r="R107" s="26" t="s">
        <v>212</v>
      </c>
      <c r="S107" s="26" t="s">
        <v>171</v>
      </c>
      <c r="T107" s="26" t="s">
        <v>554</v>
      </c>
    </row>
    <row r="108" spans="1:20" s="14" customFormat="1" x14ac:dyDescent="0.25">
      <c r="A108" s="16"/>
      <c r="B108" s="17" t="s">
        <v>755</v>
      </c>
      <c r="C108" s="18"/>
      <c r="D108" s="17" t="s">
        <v>756</v>
      </c>
      <c r="E108" s="17" t="s">
        <v>746</v>
      </c>
      <c r="F108" s="25"/>
      <c r="G108" s="17" t="s">
        <v>757</v>
      </c>
      <c r="H108" s="22">
        <v>1</v>
      </c>
      <c r="I108" s="23" t="s">
        <v>758</v>
      </c>
      <c r="J108" s="15">
        <v>0</v>
      </c>
      <c r="K108" s="24" t="s">
        <v>759</v>
      </c>
      <c r="L108" s="25" t="s">
        <v>760</v>
      </c>
      <c r="M108" s="17" t="s">
        <v>761</v>
      </c>
      <c r="N108" s="17" t="s">
        <v>762</v>
      </c>
      <c r="O108" s="17" t="s">
        <v>763</v>
      </c>
      <c r="P108" s="17"/>
      <c r="Q108" s="17"/>
      <c r="R108" s="17"/>
      <c r="S108" s="17"/>
      <c r="T108" s="17"/>
    </row>
    <row r="109" spans="1:20" x14ac:dyDescent="0.25">
      <c r="A109" s="4"/>
      <c r="B109" s="26" t="s">
        <v>764</v>
      </c>
      <c r="C109" s="27">
        <v>18</v>
      </c>
      <c r="D109" s="26" t="s">
        <v>29</v>
      </c>
      <c r="E109" s="26" t="s">
        <v>746</v>
      </c>
      <c r="F109" s="33"/>
      <c r="G109" s="26" t="s">
        <v>765</v>
      </c>
      <c r="H109" s="31">
        <v>20</v>
      </c>
      <c r="I109" s="32"/>
      <c r="J109" s="11">
        <v>1</v>
      </c>
      <c r="K109" s="12" t="s">
        <v>766</v>
      </c>
      <c r="L109" s="33" t="s">
        <v>237</v>
      </c>
      <c r="M109" s="26" t="s">
        <v>229</v>
      </c>
      <c r="N109" s="26" t="s">
        <v>767</v>
      </c>
      <c r="O109" s="26" t="s">
        <v>548</v>
      </c>
      <c r="P109" s="26" t="s">
        <v>485</v>
      </c>
      <c r="Q109" s="26"/>
      <c r="R109" s="26"/>
      <c r="S109" s="26"/>
      <c r="T109" s="26"/>
    </row>
    <row r="110" spans="1:20" s="14" customFormat="1" x14ac:dyDescent="0.25">
      <c r="A110" t="s">
        <v>768</v>
      </c>
      <c r="B110" s="26" t="s">
        <v>769</v>
      </c>
      <c r="C110" s="27"/>
      <c r="D110" s="26" t="s">
        <v>29</v>
      </c>
      <c r="E110" s="26" t="s">
        <v>746</v>
      </c>
      <c r="F110" s="33"/>
      <c r="G110" s="26" t="s">
        <v>770</v>
      </c>
      <c r="H110" s="31">
        <v>30</v>
      </c>
      <c r="I110" s="32"/>
      <c r="J110" s="11">
        <v>2</v>
      </c>
      <c r="K110" s="12" t="s">
        <v>748</v>
      </c>
      <c r="L110" s="33" t="s">
        <v>771</v>
      </c>
      <c r="M110" s="26" t="s">
        <v>237</v>
      </c>
      <c r="N110" s="26" t="s">
        <v>509</v>
      </c>
      <c r="O110" s="26"/>
      <c r="P110" s="26"/>
      <c r="Q110" s="26"/>
      <c r="R110" s="26"/>
      <c r="S110" s="26"/>
      <c r="T110" s="26"/>
    </row>
    <row r="111" spans="1:20" x14ac:dyDescent="0.25">
      <c r="A111" t="s">
        <v>772</v>
      </c>
      <c r="B111" s="6" t="s">
        <v>773</v>
      </c>
      <c r="C111" s="7"/>
      <c r="D111" s="6" t="s">
        <v>29</v>
      </c>
      <c r="E111" s="6" t="s">
        <v>746</v>
      </c>
      <c r="G111" t="s">
        <v>774</v>
      </c>
      <c r="H111" s="50">
        <v>21</v>
      </c>
      <c r="I111" s="10"/>
      <c r="J111" s="51">
        <v>0</v>
      </c>
      <c r="K111" s="52" t="s">
        <v>775</v>
      </c>
      <c r="L111" s="8" t="s">
        <v>776</v>
      </c>
      <c r="M111" s="6" t="s">
        <v>777</v>
      </c>
      <c r="N111" s="6" t="s">
        <v>293</v>
      </c>
      <c r="O111" s="6" t="s">
        <v>778</v>
      </c>
      <c r="P111" s="6" t="s">
        <v>404</v>
      </c>
      <c r="Q111" s="6"/>
      <c r="R111" s="6"/>
      <c r="S111" s="6"/>
      <c r="T111" s="6"/>
    </row>
    <row r="112" spans="1:20" x14ac:dyDescent="0.25">
      <c r="A112" s="4" t="s">
        <v>779</v>
      </c>
      <c r="B112" s="26" t="s">
        <v>780</v>
      </c>
      <c r="C112" s="27">
        <v>6.9</v>
      </c>
      <c r="D112" s="55" t="s">
        <v>29</v>
      </c>
      <c r="E112" s="26" t="s">
        <v>781</v>
      </c>
      <c r="F112" s="33"/>
      <c r="G112" s="26" t="s">
        <v>782</v>
      </c>
      <c r="H112" s="56">
        <v>25</v>
      </c>
      <c r="I112" s="32"/>
      <c r="J112" s="11">
        <v>2</v>
      </c>
      <c r="K112" s="12" t="s">
        <v>59</v>
      </c>
      <c r="L112" s="33" t="s">
        <v>783</v>
      </c>
      <c r="M112" s="26" t="s">
        <v>719</v>
      </c>
      <c r="N112" s="26"/>
      <c r="O112" s="26" t="s">
        <v>713</v>
      </c>
      <c r="P112" s="26" t="s">
        <v>784</v>
      </c>
      <c r="Q112" s="26" t="s">
        <v>650</v>
      </c>
      <c r="R112" s="26" t="s">
        <v>304</v>
      </c>
      <c r="S112" s="26" t="s">
        <v>785</v>
      </c>
      <c r="T112" s="26" t="s">
        <v>369</v>
      </c>
    </row>
    <row r="113" spans="1:20" x14ac:dyDescent="0.25">
      <c r="A113" t="s">
        <v>786</v>
      </c>
      <c r="B113" s="6" t="s">
        <v>787</v>
      </c>
      <c r="C113" s="7">
        <v>5</v>
      </c>
      <c r="D113" s="6" t="s">
        <v>29</v>
      </c>
      <c r="E113" s="74" t="s">
        <v>781</v>
      </c>
      <c r="F113" s="75"/>
      <c r="G113" s="6" t="s">
        <v>788</v>
      </c>
      <c r="H113" s="50">
        <v>25</v>
      </c>
      <c r="I113" s="10"/>
      <c r="J113" s="15">
        <v>1</v>
      </c>
      <c r="K113" s="52" t="s">
        <v>157</v>
      </c>
      <c r="L113" s="8" t="s">
        <v>789</v>
      </c>
      <c r="M113" s="6" t="s">
        <v>304</v>
      </c>
      <c r="N113" s="6" t="s">
        <v>218</v>
      </c>
      <c r="O113" s="102" t="s">
        <v>49</v>
      </c>
      <c r="P113" s="13" t="s">
        <v>171</v>
      </c>
      <c r="Q113" s="6" t="s">
        <v>464</v>
      </c>
      <c r="R113" s="6" t="s">
        <v>426</v>
      </c>
      <c r="S113" s="6" t="s">
        <v>778</v>
      </c>
      <c r="T113" s="6" t="s">
        <v>602</v>
      </c>
    </row>
    <row r="114" spans="1:38" s="16" customFormat="1" x14ac:dyDescent="0.25">
      <c r="A114" t="s">
        <v>790</v>
      </c>
      <c r="B114" s="26" t="s">
        <v>791</v>
      </c>
      <c r="C114" s="27"/>
      <c r="D114" s="55" t="s">
        <v>29</v>
      </c>
      <c r="E114" s="26" t="s">
        <v>781</v>
      </c>
      <c r="F114" s="33"/>
      <c r="G114" s="26" t="s">
        <v>792</v>
      </c>
      <c r="H114" s="56">
        <v>25</v>
      </c>
      <c r="I114" s="32"/>
      <c r="J114" s="11">
        <v>2.2</v>
      </c>
      <c r="K114" s="12" t="s">
        <v>793</v>
      </c>
      <c r="L114" s="33" t="s">
        <v>794</v>
      </c>
      <c r="M114" s="26" t="s">
        <v>484</v>
      </c>
      <c r="N114" s="26" t="s">
        <v>719</v>
      </c>
      <c r="O114" s="26"/>
      <c r="P114" s="26" t="s">
        <v>496</v>
      </c>
      <c r="Q114" s="26" t="s">
        <v>509</v>
      </c>
      <c r="R114" s="26" t="s">
        <v>795</v>
      </c>
      <c r="S114" s="26" t="s">
        <v>737</v>
      </c>
      <c r="T114" s="26" t="s">
        <v>537</v>
      </c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1:20" x14ac:dyDescent="0.25">
      <c r="A115" s="4" t="s">
        <v>796</v>
      </c>
      <c r="B115" s="26" t="s">
        <v>797</v>
      </c>
      <c r="C115" s="27">
        <v>5.3</v>
      </c>
      <c r="D115" s="26" t="s">
        <v>5</v>
      </c>
      <c r="E115" s="26" t="s">
        <v>798</v>
      </c>
      <c r="F115" s="33" t="s">
        <v>799</v>
      </c>
      <c r="G115" s="26" t="s">
        <v>800</v>
      </c>
      <c r="H115" s="31">
        <v>20</v>
      </c>
      <c r="I115" s="32"/>
      <c r="J115" s="11">
        <v>5</v>
      </c>
      <c r="K115" s="12" t="s">
        <v>801</v>
      </c>
      <c r="L115" s="33"/>
      <c r="M115" s="26" t="s">
        <v>802</v>
      </c>
      <c r="N115" s="26" t="s">
        <v>803</v>
      </c>
      <c r="O115" s="26" t="s">
        <v>804</v>
      </c>
      <c r="P115" s="26" t="s">
        <v>805</v>
      </c>
      <c r="Q115" s="26" t="s">
        <v>379</v>
      </c>
      <c r="R115" s="26" t="s">
        <v>46</v>
      </c>
      <c r="S115" s="26" t="s">
        <v>599</v>
      </c>
      <c r="T115" s="26" t="s">
        <v>806</v>
      </c>
    </row>
    <row r="116" spans="1:20" x14ac:dyDescent="0.25">
      <c r="A116" s="4" t="s">
        <v>807</v>
      </c>
      <c r="B116" s="26" t="s">
        <v>808</v>
      </c>
      <c r="C116" s="27">
        <v>7.3</v>
      </c>
      <c r="D116" s="26" t="s">
        <v>5</v>
      </c>
      <c r="E116" s="26" t="s">
        <v>809</v>
      </c>
      <c r="F116" s="33"/>
      <c r="G116" s="26" t="s">
        <v>810</v>
      </c>
      <c r="H116" s="31">
        <v>15</v>
      </c>
      <c r="I116" s="32"/>
      <c r="J116" s="11">
        <v>12</v>
      </c>
      <c r="K116" s="12" t="s">
        <v>811</v>
      </c>
      <c r="L116" s="33" t="s">
        <v>258</v>
      </c>
      <c r="M116" s="26" t="s">
        <v>812</v>
      </c>
      <c r="N116" s="26"/>
      <c r="O116" s="26"/>
      <c r="P116" s="26"/>
      <c r="Q116" s="26"/>
      <c r="R116" s="26"/>
      <c r="S116" s="26"/>
      <c r="T116" s="26"/>
    </row>
    <row r="117" spans="1:20" x14ac:dyDescent="0.25">
      <c r="A117" t="s">
        <v>813</v>
      </c>
      <c r="B117" s="26" t="s">
        <v>814</v>
      </c>
      <c r="C117" s="27">
        <v>7</v>
      </c>
      <c r="D117" s="26" t="s">
        <v>5</v>
      </c>
      <c r="E117" s="26" t="s">
        <v>809</v>
      </c>
      <c r="F117" s="33" t="s">
        <v>799</v>
      </c>
      <c r="G117" s="26" t="s">
        <v>815</v>
      </c>
      <c r="H117" s="31">
        <v>20</v>
      </c>
      <c r="I117" s="32"/>
      <c r="J117" s="11">
        <v>2</v>
      </c>
      <c r="K117" s="12" t="s">
        <v>816</v>
      </c>
      <c r="L117" s="33" t="s">
        <v>675</v>
      </c>
      <c r="M117" s="26" t="s">
        <v>502</v>
      </c>
      <c r="N117" s="26"/>
      <c r="O117" s="26" t="s">
        <v>817</v>
      </c>
      <c r="P117" s="26" t="s">
        <v>650</v>
      </c>
      <c r="Q117" s="26" t="s">
        <v>818</v>
      </c>
      <c r="R117" s="26" t="s">
        <v>819</v>
      </c>
      <c r="S117" s="26" t="s">
        <v>201</v>
      </c>
      <c r="T117" s="26" t="s">
        <v>603</v>
      </c>
    </row>
    <row r="118" spans="1:20" x14ac:dyDescent="0.25">
      <c r="A118" t="s">
        <v>820</v>
      </c>
      <c r="B118" s="26" t="s">
        <v>821</v>
      </c>
      <c r="C118" s="35">
        <v>8.3</v>
      </c>
      <c r="D118" s="26" t="s">
        <v>5</v>
      </c>
      <c r="E118" s="26" t="s">
        <v>798</v>
      </c>
      <c r="F118" s="33" t="s">
        <v>799</v>
      </c>
      <c r="G118" s="26" t="s">
        <v>822</v>
      </c>
      <c r="H118" s="31">
        <v>20</v>
      </c>
      <c r="I118" s="32"/>
      <c r="J118" s="11">
        <v>1</v>
      </c>
      <c r="K118" s="12" t="s">
        <v>460</v>
      </c>
      <c r="L118" s="33" t="s">
        <v>36</v>
      </c>
      <c r="M118" s="26" t="s">
        <v>554</v>
      </c>
      <c r="N118" s="26"/>
      <c r="O118" s="26" t="s">
        <v>823</v>
      </c>
      <c r="P118" s="26" t="s">
        <v>565</v>
      </c>
      <c r="Q118" s="26" t="s">
        <v>491</v>
      </c>
      <c r="R118" s="26" t="s">
        <v>659</v>
      </c>
      <c r="S118" s="26" t="s">
        <v>161</v>
      </c>
      <c r="T118" s="26" t="s">
        <v>64</v>
      </c>
    </row>
    <row r="119" spans="1:20" x14ac:dyDescent="0.25">
      <c r="A119" t="s">
        <v>824</v>
      </c>
      <c r="B119" s="26" t="s">
        <v>825</v>
      </c>
      <c r="C119" s="27">
        <v>5.2</v>
      </c>
      <c r="D119" s="55" t="s">
        <v>29</v>
      </c>
      <c r="E119" s="26" t="s">
        <v>809</v>
      </c>
      <c r="F119" s="33"/>
      <c r="G119" s="26" t="s">
        <v>826</v>
      </c>
      <c r="H119" s="31">
        <v>20</v>
      </c>
      <c r="I119" s="32"/>
      <c r="J119" s="11">
        <v>3</v>
      </c>
      <c r="K119" s="12" t="s">
        <v>211</v>
      </c>
      <c r="L119" s="33"/>
      <c r="M119" s="26" t="s">
        <v>827</v>
      </c>
      <c r="N119" s="26" t="s">
        <v>216</v>
      </c>
      <c r="O119" s="26" t="s">
        <v>274</v>
      </c>
      <c r="P119" s="26" t="s">
        <v>682</v>
      </c>
      <c r="Q119" s="28" t="s">
        <v>828</v>
      </c>
      <c r="R119" s="26" t="s">
        <v>256</v>
      </c>
      <c r="S119" s="26" t="s">
        <v>829</v>
      </c>
      <c r="T119" s="26" t="s">
        <v>830</v>
      </c>
    </row>
    <row r="120" spans="1:20" x14ac:dyDescent="0.25">
      <c r="A120" t="s">
        <v>831</v>
      </c>
      <c r="B120" s="26" t="s">
        <v>832</v>
      </c>
      <c r="C120" s="27">
        <v>7.3</v>
      </c>
      <c r="D120" s="26" t="s">
        <v>5</v>
      </c>
      <c r="E120" s="26" t="s">
        <v>809</v>
      </c>
      <c r="F120" s="33"/>
      <c r="G120" s="26" t="s">
        <v>833</v>
      </c>
      <c r="H120" s="31">
        <v>15</v>
      </c>
      <c r="I120" s="32"/>
      <c r="J120" s="11">
        <v>4</v>
      </c>
      <c r="K120" s="12" t="s">
        <v>834</v>
      </c>
      <c r="L120" s="33" t="s">
        <v>292</v>
      </c>
      <c r="M120" s="26" t="s">
        <v>403</v>
      </c>
      <c r="N120" s="26"/>
      <c r="O120" s="26"/>
      <c r="P120" s="26"/>
      <c r="Q120" s="28"/>
      <c r="R120" s="26"/>
      <c r="S120" s="26"/>
      <c r="T120" s="26"/>
    </row>
    <row r="121" spans="1:20" x14ac:dyDescent="0.25">
      <c r="A121" t="s">
        <v>835</v>
      </c>
      <c r="B121" s="26" t="s">
        <v>836</v>
      </c>
      <c r="C121" s="27"/>
      <c r="D121" s="55" t="s">
        <v>29</v>
      </c>
      <c r="E121" s="26" t="s">
        <v>809</v>
      </c>
      <c r="F121" s="33"/>
      <c r="G121" s="26" t="s">
        <v>837</v>
      </c>
      <c r="H121" s="31">
        <v>20</v>
      </c>
      <c r="I121" s="32"/>
      <c r="J121" s="11">
        <v>3</v>
      </c>
      <c r="K121" s="12" t="s">
        <v>838</v>
      </c>
      <c r="L121" s="33" t="s">
        <v>839</v>
      </c>
      <c r="M121" s="26" t="s">
        <v>216</v>
      </c>
      <c r="N121" s="26" t="s">
        <v>259</v>
      </c>
      <c r="O121" s="26" t="s">
        <v>603</v>
      </c>
      <c r="P121" s="26" t="s">
        <v>86</v>
      </c>
      <c r="Q121" s="26" t="s">
        <v>675</v>
      </c>
      <c r="R121" s="26"/>
      <c r="S121" s="26"/>
      <c r="T121" s="26"/>
    </row>
    <row r="122" spans="1:20" x14ac:dyDescent="0.25">
      <c r="A122" s="4" t="s">
        <v>840</v>
      </c>
      <c r="B122" s="26" t="s">
        <v>841</v>
      </c>
      <c r="C122" s="27">
        <v>8.1</v>
      </c>
      <c r="D122" s="55" t="s">
        <v>29</v>
      </c>
      <c r="E122" s="26" t="s">
        <v>809</v>
      </c>
      <c r="F122" s="33"/>
      <c r="G122" s="26" t="s">
        <v>842</v>
      </c>
      <c r="H122" s="31">
        <v>20</v>
      </c>
      <c r="I122" s="32"/>
      <c r="J122" s="11">
        <v>1</v>
      </c>
      <c r="K122" s="12" t="s">
        <v>264</v>
      </c>
      <c r="L122" s="33" t="s">
        <v>435</v>
      </c>
      <c r="M122" s="26" t="s">
        <v>453</v>
      </c>
      <c r="N122" s="26" t="s">
        <v>843</v>
      </c>
      <c r="O122" s="26" t="s">
        <v>844</v>
      </c>
      <c r="P122" s="26" t="s">
        <v>845</v>
      </c>
      <c r="Q122" s="26" t="s">
        <v>170</v>
      </c>
      <c r="R122" s="26" t="s">
        <v>258</v>
      </c>
      <c r="S122" s="26"/>
      <c r="T122" s="26" t="s">
        <v>87</v>
      </c>
    </row>
    <row r="123" spans="2:20" x14ac:dyDescent="0.25">
      <c r="B123" s="26" t="s">
        <v>846</v>
      </c>
      <c r="C123" s="27"/>
      <c r="D123" s="26"/>
      <c r="E123" s="29" t="s">
        <v>847</v>
      </c>
      <c r="F123" s="30"/>
      <c r="G123" s="26" t="s">
        <v>848</v>
      </c>
      <c r="H123" s="31">
        <v>10</v>
      </c>
      <c r="I123" s="32"/>
      <c r="J123" s="11">
        <v>1</v>
      </c>
      <c r="K123" s="12" t="s">
        <v>849</v>
      </c>
      <c r="L123" s="8"/>
      <c r="M123" s="6"/>
      <c r="N123" s="6"/>
      <c r="O123" s="6"/>
      <c r="P123" s="6"/>
      <c r="Q123" s="6"/>
      <c r="R123" s="6"/>
      <c r="S123" s="6"/>
      <c r="T123" s="6"/>
    </row>
    <row r="124" spans="1:20" x14ac:dyDescent="0.25">
      <c r="A124" t="s">
        <v>850</v>
      </c>
      <c r="B124" s="49" t="s">
        <v>851</v>
      </c>
      <c r="C124" s="103"/>
      <c r="D124" s="101" t="s">
        <v>29</v>
      </c>
      <c r="E124" s="6" t="s">
        <v>852</v>
      </c>
      <c r="F124" s="8"/>
      <c r="G124" s="49" t="s">
        <v>853</v>
      </c>
      <c r="H124" s="9">
        <v>25</v>
      </c>
      <c r="I124" s="10"/>
      <c r="J124" s="51">
        <v>1</v>
      </c>
      <c r="K124" s="52" t="s">
        <v>854</v>
      </c>
      <c r="L124" s="8" t="s">
        <v>855</v>
      </c>
      <c r="M124" s="6" t="s">
        <v>856</v>
      </c>
      <c r="N124" s="6" t="s">
        <v>507</v>
      </c>
      <c r="O124" s="6"/>
      <c r="P124" s="6"/>
      <c r="Q124" s="6"/>
      <c r="R124" s="6"/>
      <c r="S124" s="6"/>
      <c r="T124" s="6"/>
    </row>
    <row r="125" spans="1:20" x14ac:dyDescent="0.25">
      <c r="A125" t="s">
        <v>857</v>
      </c>
      <c r="B125" s="49" t="s">
        <v>858</v>
      </c>
      <c r="C125" s="103">
        <v>7.2</v>
      </c>
      <c r="D125" s="101" t="s">
        <v>29</v>
      </c>
      <c r="E125" s="6" t="s">
        <v>852</v>
      </c>
      <c r="F125" s="8"/>
      <c r="G125" s="49" t="s">
        <v>859</v>
      </c>
      <c r="H125" s="9">
        <v>25</v>
      </c>
      <c r="I125" s="10"/>
      <c r="J125" s="51">
        <v>2</v>
      </c>
      <c r="K125" s="52" t="s">
        <v>733</v>
      </c>
      <c r="L125" s="8" t="s">
        <v>860</v>
      </c>
      <c r="M125" s="6" t="s">
        <v>861</v>
      </c>
      <c r="N125" s="6" t="s">
        <v>862</v>
      </c>
      <c r="O125" s="6" t="s">
        <v>863</v>
      </c>
      <c r="P125" s="6" t="s">
        <v>864</v>
      </c>
      <c r="Q125" s="6" t="s">
        <v>865</v>
      </c>
      <c r="R125" s="6" t="s">
        <v>441</v>
      </c>
      <c r="S125" s="6" t="s">
        <v>283</v>
      </c>
      <c r="T125" s="6"/>
    </row>
    <row r="126" spans="1:20" x14ac:dyDescent="0.25">
      <c r="A126" t="s">
        <v>866</v>
      </c>
      <c r="B126" s="49" t="s">
        <v>867</v>
      </c>
      <c r="C126" s="103"/>
      <c r="D126" s="101" t="s">
        <v>29</v>
      </c>
      <c r="E126" s="6" t="s">
        <v>852</v>
      </c>
      <c r="F126" s="8"/>
      <c r="G126" s="6" t="s">
        <v>868</v>
      </c>
      <c r="H126" s="9">
        <v>25</v>
      </c>
      <c r="I126" s="10"/>
      <c r="J126" s="51">
        <v>2</v>
      </c>
      <c r="K126" s="52" t="s">
        <v>168</v>
      </c>
      <c r="L126" s="8" t="s">
        <v>869</v>
      </c>
      <c r="M126" s="6" t="s">
        <v>507</v>
      </c>
      <c r="N126" s="6" t="s">
        <v>481</v>
      </c>
      <c r="O126" s="6" t="s">
        <v>428</v>
      </c>
      <c r="P126" s="6" t="s">
        <v>870</v>
      </c>
      <c r="Q126" s="6" t="s">
        <v>871</v>
      </c>
      <c r="R126" s="6" t="s">
        <v>553</v>
      </c>
      <c r="S126" s="6"/>
      <c r="T126" s="6"/>
    </row>
    <row r="127" spans="1:20" x14ac:dyDescent="0.25">
      <c r="A127" t="s">
        <v>872</v>
      </c>
      <c r="B127" s="6" t="s">
        <v>873</v>
      </c>
      <c r="C127" s="7"/>
      <c r="D127" s="6" t="s">
        <v>29</v>
      </c>
      <c r="E127" s="6" t="s">
        <v>874</v>
      </c>
      <c r="F127" s="8"/>
      <c r="G127" s="6" t="s">
        <v>875</v>
      </c>
      <c r="H127" s="50">
        <v>25</v>
      </c>
      <c r="I127" s="10" t="s">
        <v>876</v>
      </c>
      <c r="J127" s="15">
        <v>0</v>
      </c>
      <c r="K127" s="52" t="s">
        <v>854</v>
      </c>
      <c r="L127" s="8" t="s">
        <v>877</v>
      </c>
      <c r="M127" s="6" t="s">
        <v>878</v>
      </c>
      <c r="N127" s="6" t="s">
        <v>879</v>
      </c>
      <c r="O127" s="6" t="s">
        <v>880</v>
      </c>
      <c r="P127" s="104" t="s">
        <v>554</v>
      </c>
      <c r="Q127" s="6"/>
      <c r="R127" s="6"/>
      <c r="S127" s="6"/>
      <c r="T127" s="6"/>
    </row>
    <row r="128" spans="1:20" s="16" customFormat="1" x14ac:dyDescent="0.25">
      <c r="A128" s="16" t="s">
        <v>881</v>
      </c>
      <c r="B128" s="17" t="s">
        <v>882</v>
      </c>
      <c r="C128" s="18"/>
      <c r="D128" s="17" t="s">
        <v>29</v>
      </c>
      <c r="E128" s="17" t="s">
        <v>874</v>
      </c>
      <c r="F128" s="25"/>
      <c r="G128" s="17" t="s">
        <v>883</v>
      </c>
      <c r="H128" s="22">
        <v>25</v>
      </c>
      <c r="I128" s="23" t="s">
        <v>884</v>
      </c>
      <c r="J128" s="15">
        <v>0</v>
      </c>
      <c r="K128" s="24" t="s">
        <v>854</v>
      </c>
      <c r="L128" s="25" t="s">
        <v>885</v>
      </c>
      <c r="M128" s="19">
        <v>45047</v>
      </c>
      <c r="N128" s="17" t="s">
        <v>650</v>
      </c>
      <c r="O128" s="17" t="s">
        <v>338</v>
      </c>
      <c r="P128" s="17" t="s">
        <v>553</v>
      </c>
      <c r="Q128" s="17"/>
      <c r="R128" s="17"/>
      <c r="S128" s="17"/>
      <c r="T128" s="17"/>
    </row>
    <row r="129" spans="1:20" s="14" customFormat="1" x14ac:dyDescent="0.25">
      <c r="A129" t="s">
        <v>886</v>
      </c>
      <c r="B129" s="26" t="s">
        <v>887</v>
      </c>
      <c r="C129" s="27"/>
      <c r="D129" s="26"/>
      <c r="E129" s="29" t="s">
        <v>874</v>
      </c>
      <c r="F129" s="30"/>
      <c r="G129" s="26" t="s">
        <v>888</v>
      </c>
      <c r="H129" s="31">
        <v>5</v>
      </c>
      <c r="I129" s="32"/>
      <c r="J129" s="11">
        <v>1</v>
      </c>
      <c r="K129" s="12" t="s">
        <v>889</v>
      </c>
      <c r="L129" s="8" t="s">
        <v>890</v>
      </c>
      <c r="M129" s="6"/>
      <c r="N129" s="6"/>
      <c r="O129" s="6"/>
      <c r="P129" s="6"/>
      <c r="Q129" s="6"/>
      <c r="R129" s="6"/>
      <c r="S129" s="6"/>
      <c r="T129" s="6"/>
    </row>
    <row r="130" spans="1:20" x14ac:dyDescent="0.25">
      <c r="A130" t="s">
        <v>891</v>
      </c>
      <c r="B130" s="6" t="s">
        <v>892</v>
      </c>
      <c r="C130" s="7">
        <v>6.2</v>
      </c>
      <c r="D130" s="101" t="s">
        <v>29</v>
      </c>
      <c r="E130" s="6" t="s">
        <v>874</v>
      </c>
      <c r="F130" s="8"/>
      <c r="G130" s="6" t="s">
        <v>893</v>
      </c>
      <c r="H130" s="9">
        <v>20</v>
      </c>
      <c r="I130" s="10"/>
      <c r="J130" s="51">
        <v>4</v>
      </c>
      <c r="K130" s="52" t="s">
        <v>894</v>
      </c>
      <c r="L130" s="8" t="s">
        <v>483</v>
      </c>
      <c r="M130" s="6" t="s">
        <v>789</v>
      </c>
      <c r="N130" s="6" t="s">
        <v>753</v>
      </c>
      <c r="O130" s="6" t="s">
        <v>88</v>
      </c>
      <c r="P130" s="6" t="s">
        <v>162</v>
      </c>
      <c r="Q130" s="6" t="s">
        <v>413</v>
      </c>
      <c r="R130" s="6" t="s">
        <v>361</v>
      </c>
      <c r="S130" s="6" t="s">
        <v>895</v>
      </c>
      <c r="T130" s="6"/>
    </row>
    <row r="131" spans="1:20" s="14" customFormat="1" x14ac:dyDescent="0.25">
      <c r="A131" s="4" t="s">
        <v>896</v>
      </c>
      <c r="B131" s="26" t="s">
        <v>897</v>
      </c>
      <c r="C131" s="27">
        <v>6.2</v>
      </c>
      <c r="D131" s="55" t="s">
        <v>29</v>
      </c>
      <c r="E131" s="26" t="s">
        <v>874</v>
      </c>
      <c r="F131" s="33"/>
      <c r="G131" s="26" t="s">
        <v>898</v>
      </c>
      <c r="H131" s="56">
        <v>20</v>
      </c>
      <c r="I131" s="32"/>
      <c r="J131" s="11">
        <v>1</v>
      </c>
      <c r="K131" s="12" t="s">
        <v>899</v>
      </c>
      <c r="L131" s="33" t="s">
        <v>463</v>
      </c>
      <c r="M131" s="26" t="s">
        <v>900</v>
      </c>
      <c r="N131" s="26" t="s">
        <v>901</v>
      </c>
      <c r="O131" s="26" t="s">
        <v>902</v>
      </c>
      <c r="P131" s="26" t="s">
        <v>231</v>
      </c>
      <c r="Q131" s="26" t="s">
        <v>231</v>
      </c>
      <c r="R131" s="28">
        <v>45490</v>
      </c>
      <c r="S131" s="26" t="s">
        <v>903</v>
      </c>
      <c r="T131" s="26" t="s">
        <v>162</v>
      </c>
    </row>
    <row r="132" spans="1:20" x14ac:dyDescent="0.25">
      <c r="A132" t="s">
        <v>904</v>
      </c>
      <c r="B132" s="26" t="s">
        <v>905</v>
      </c>
      <c r="C132" s="27"/>
      <c r="D132" s="55" t="s">
        <v>29</v>
      </c>
      <c r="E132" s="26" t="s">
        <v>874</v>
      </c>
      <c r="F132" s="33"/>
      <c r="G132" s="26" t="s">
        <v>906</v>
      </c>
      <c r="H132" s="56">
        <v>20</v>
      </c>
      <c r="I132" s="32"/>
      <c r="J132" s="11">
        <v>3</v>
      </c>
      <c r="K132" s="12" t="s">
        <v>907</v>
      </c>
      <c r="L132" s="33" t="s">
        <v>908</v>
      </c>
      <c r="M132" s="26" t="s">
        <v>909</v>
      </c>
      <c r="N132" s="26" t="s">
        <v>910</v>
      </c>
      <c r="O132" s="26" t="s">
        <v>911</v>
      </c>
      <c r="P132" s="26" t="s">
        <v>912</v>
      </c>
      <c r="Q132" s="26" t="s">
        <v>345</v>
      </c>
      <c r="R132" s="26" t="s">
        <v>913</v>
      </c>
      <c r="S132" s="26" t="s">
        <v>728</v>
      </c>
      <c r="T132" s="26"/>
    </row>
    <row r="133" spans="1:20" x14ac:dyDescent="0.25">
      <c r="A133" t="s">
        <v>914</v>
      </c>
      <c r="B133" s="26" t="s">
        <v>915</v>
      </c>
      <c r="C133" s="27"/>
      <c r="D133" s="55" t="s">
        <v>29</v>
      </c>
      <c r="E133" s="26" t="s">
        <v>916</v>
      </c>
      <c r="F133" s="33"/>
      <c r="G133" s="26" t="s">
        <v>917</v>
      </c>
      <c r="H133" s="56">
        <v>20</v>
      </c>
      <c r="I133" s="32"/>
      <c r="J133" s="11">
        <v>1</v>
      </c>
      <c r="K133" s="12" t="s">
        <v>918</v>
      </c>
      <c r="L133" s="33" t="s">
        <v>900</v>
      </c>
      <c r="M133" s="26" t="s">
        <v>545</v>
      </c>
      <c r="N133" s="26" t="s">
        <v>919</v>
      </c>
      <c r="O133" s="26" t="s">
        <v>920</v>
      </c>
      <c r="P133" s="26" t="s">
        <v>465</v>
      </c>
      <c r="Q133" s="26"/>
      <c r="R133" s="26"/>
      <c r="S133" s="26"/>
      <c r="T133" s="26"/>
    </row>
    <row r="134" spans="1:38" s="16" customFormat="1" x14ac:dyDescent="0.25">
      <c r="A134" s="4" t="s">
        <v>921</v>
      </c>
      <c r="B134" s="26" t="s">
        <v>922</v>
      </c>
      <c r="C134" s="27"/>
      <c r="D134" s="55" t="s">
        <v>29</v>
      </c>
      <c r="E134" s="26" t="s">
        <v>874</v>
      </c>
      <c r="F134" s="33"/>
      <c r="G134" s="26" t="s">
        <v>923</v>
      </c>
      <c r="H134" s="56">
        <v>25</v>
      </c>
      <c r="I134" s="32" t="s">
        <v>924</v>
      </c>
      <c r="J134" s="11">
        <v>0</v>
      </c>
      <c r="K134" s="12" t="s">
        <v>925</v>
      </c>
      <c r="L134" s="33" t="s">
        <v>926</v>
      </c>
      <c r="M134" s="26" t="s">
        <v>927</v>
      </c>
      <c r="N134" s="26" t="s">
        <v>928</v>
      </c>
      <c r="O134" s="26" t="s">
        <v>464</v>
      </c>
      <c r="P134" s="26"/>
      <c r="Q134" s="26" t="s">
        <v>322</v>
      </c>
      <c r="R134" s="26" t="s">
        <v>259</v>
      </c>
      <c r="S134" s="26" t="s">
        <v>753</v>
      </c>
      <c r="T134" s="26" t="s">
        <v>249</v>
      </c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1:20" x14ac:dyDescent="0.25">
      <c r="A135" s="4" t="s">
        <v>929</v>
      </c>
      <c r="B135" s="26" t="s">
        <v>930</v>
      </c>
      <c r="C135" s="27"/>
      <c r="D135" s="26" t="s">
        <v>29</v>
      </c>
      <c r="E135" s="29" t="s">
        <v>931</v>
      </c>
      <c r="F135" s="30"/>
      <c r="G135" s="26" t="s">
        <v>932</v>
      </c>
      <c r="H135" s="31">
        <v>24</v>
      </c>
      <c r="I135" s="32"/>
      <c r="J135" s="11">
        <v>3</v>
      </c>
      <c r="K135" s="12" t="s">
        <v>933</v>
      </c>
      <c r="L135" s="33" t="s">
        <v>199</v>
      </c>
      <c r="M135" s="26" t="s">
        <v>72</v>
      </c>
      <c r="N135" s="26" t="s">
        <v>912</v>
      </c>
      <c r="O135" s="26" t="s">
        <v>713</v>
      </c>
      <c r="P135" s="26" t="s">
        <v>191</v>
      </c>
      <c r="Q135" s="26" t="s">
        <v>934</v>
      </c>
      <c r="R135" s="26" t="s">
        <v>935</v>
      </c>
      <c r="S135" s="26" t="s">
        <v>936</v>
      </c>
      <c r="T135" s="26"/>
    </row>
    <row r="136" spans="1:20" x14ac:dyDescent="0.25">
      <c r="A136" s="4" t="s">
        <v>638</v>
      </c>
      <c r="B136" s="26" t="s">
        <v>937</v>
      </c>
      <c r="C136" s="27"/>
      <c r="D136" s="26" t="s">
        <v>29</v>
      </c>
      <c r="E136" s="29" t="s">
        <v>931</v>
      </c>
      <c r="F136" s="30"/>
      <c r="G136" s="26" t="s">
        <v>938</v>
      </c>
      <c r="H136" s="31">
        <v>10</v>
      </c>
      <c r="I136" s="32"/>
      <c r="J136" s="11">
        <v>5</v>
      </c>
      <c r="K136" s="12" t="s">
        <v>939</v>
      </c>
      <c r="L136" s="33" t="s">
        <v>940</v>
      </c>
      <c r="M136" s="26" t="s">
        <v>284</v>
      </c>
      <c r="N136" s="26"/>
      <c r="O136" s="26" t="s">
        <v>941</v>
      </c>
      <c r="P136" s="26" t="s">
        <v>738</v>
      </c>
      <c r="Q136" s="26" t="s">
        <v>616</v>
      </c>
      <c r="R136" s="26" t="s">
        <v>234</v>
      </c>
      <c r="S136" s="26" t="s">
        <v>159</v>
      </c>
      <c r="T136" s="26" t="s">
        <v>526</v>
      </c>
    </row>
    <row r="137" spans="2:20" x14ac:dyDescent="0.25">
      <c r="B137" s="42" t="s">
        <v>942</v>
      </c>
      <c r="C137" s="43"/>
      <c r="D137" s="42" t="s">
        <v>29</v>
      </c>
      <c r="E137" s="42" t="s">
        <v>943</v>
      </c>
      <c r="F137" s="44"/>
      <c r="G137" s="42" t="s">
        <v>944</v>
      </c>
      <c r="H137" s="45">
        <v>20</v>
      </c>
      <c r="I137" s="46" t="s">
        <v>945</v>
      </c>
      <c r="J137" s="47">
        <v>0</v>
      </c>
      <c r="K137" s="48" t="s">
        <v>946</v>
      </c>
      <c r="L137" s="44" t="s">
        <v>303</v>
      </c>
      <c r="M137" s="42" t="s">
        <v>947</v>
      </c>
      <c r="N137" s="42"/>
      <c r="O137" s="42"/>
      <c r="P137" s="42"/>
      <c r="Q137" s="42"/>
      <c r="R137" s="42"/>
      <c r="S137" s="42"/>
      <c r="T137" s="42"/>
    </row>
    <row r="138" spans="1:20" x14ac:dyDescent="0.25">
      <c r="A138" s="16"/>
      <c r="B138" s="17" t="s">
        <v>948</v>
      </c>
      <c r="C138" s="18"/>
      <c r="D138" s="17" t="s">
        <v>29</v>
      </c>
      <c r="E138" s="17" t="s">
        <v>943</v>
      </c>
      <c r="F138" s="25"/>
      <c r="G138" s="17" t="s">
        <v>949</v>
      </c>
      <c r="H138" s="22">
        <v>20</v>
      </c>
      <c r="I138" s="23"/>
      <c r="J138" s="15">
        <v>0</v>
      </c>
      <c r="K138" s="24" t="s">
        <v>950</v>
      </c>
      <c r="L138" s="25" t="s">
        <v>951</v>
      </c>
      <c r="M138" s="17" t="s">
        <v>952</v>
      </c>
      <c r="N138" s="17" t="s">
        <v>432</v>
      </c>
      <c r="O138" s="17"/>
      <c r="P138" s="17"/>
      <c r="Q138" s="17"/>
      <c r="R138" s="17"/>
      <c r="S138" s="17"/>
      <c r="T138" s="17"/>
    </row>
    <row r="139" spans="1:20" x14ac:dyDescent="0.25">
      <c r="A139" s="40"/>
      <c r="B139" s="42" t="s">
        <v>953</v>
      </c>
      <c r="C139" s="43"/>
      <c r="D139" s="42" t="s">
        <v>29</v>
      </c>
      <c r="E139" s="42" t="s">
        <v>943</v>
      </c>
      <c r="F139" s="44"/>
      <c r="G139" s="42" t="s">
        <v>954</v>
      </c>
      <c r="H139" s="45">
        <v>20</v>
      </c>
      <c r="I139" s="46"/>
      <c r="J139" s="47">
        <v>0</v>
      </c>
      <c r="K139" s="48" t="s">
        <v>955</v>
      </c>
      <c r="L139" s="44" t="s">
        <v>951</v>
      </c>
      <c r="M139" s="42" t="s">
        <v>956</v>
      </c>
      <c r="N139" s="42" t="s">
        <v>957</v>
      </c>
      <c r="O139" s="42" t="s">
        <v>958</v>
      </c>
      <c r="P139" s="42" t="s">
        <v>10</v>
      </c>
      <c r="Q139" s="42" t="s">
        <v>47</v>
      </c>
      <c r="R139" s="42"/>
      <c r="S139" s="42"/>
      <c r="T139" s="42"/>
    </row>
    <row r="140" spans="2:20" s="16" customFormat="1" x14ac:dyDescent="0.25">
      <c r="B140" s="17" t="s">
        <v>959</v>
      </c>
      <c r="C140" s="18"/>
      <c r="D140" s="17" t="s">
        <v>29</v>
      </c>
      <c r="E140" s="17" t="s">
        <v>943</v>
      </c>
      <c r="F140" s="25"/>
      <c r="G140" s="17" t="s">
        <v>960</v>
      </c>
      <c r="H140" s="22">
        <v>5</v>
      </c>
      <c r="I140" s="23"/>
      <c r="J140" s="15">
        <v>0</v>
      </c>
      <c r="K140" s="24" t="s">
        <v>961</v>
      </c>
      <c r="L140" s="25" t="s">
        <v>962</v>
      </c>
      <c r="M140" s="17" t="s">
        <v>963</v>
      </c>
      <c r="N140" s="17" t="s">
        <v>283</v>
      </c>
      <c r="O140" s="17" t="s">
        <v>964</v>
      </c>
      <c r="P140" s="17" t="s">
        <v>928</v>
      </c>
      <c r="Q140" s="17" t="s">
        <v>736</v>
      </c>
      <c r="R140" s="17" t="s">
        <v>965</v>
      </c>
      <c r="S140" s="17"/>
      <c r="T140" s="17" t="s">
        <v>966</v>
      </c>
    </row>
    <row r="141" spans="1:20" x14ac:dyDescent="0.25">
      <c r="A141" t="s">
        <v>967</v>
      </c>
      <c r="B141" s="26" t="s">
        <v>968</v>
      </c>
      <c r="C141" s="27"/>
      <c r="D141" s="26" t="s">
        <v>29</v>
      </c>
      <c r="E141" s="26" t="s">
        <v>943</v>
      </c>
      <c r="F141" s="33"/>
      <c r="G141" s="26" t="s">
        <v>969</v>
      </c>
      <c r="H141" s="31">
        <v>20</v>
      </c>
      <c r="I141" s="32"/>
      <c r="J141" s="11">
        <v>1</v>
      </c>
      <c r="K141" s="12" t="s">
        <v>970</v>
      </c>
      <c r="L141" s="33" t="s">
        <v>951</v>
      </c>
      <c r="M141" s="26" t="s">
        <v>971</v>
      </c>
      <c r="N141" s="26"/>
      <c r="O141" s="26"/>
      <c r="P141" s="26"/>
      <c r="Q141" s="26"/>
      <c r="R141" s="26"/>
      <c r="S141" s="26"/>
      <c r="T141" s="26"/>
    </row>
    <row r="142" spans="1:20" x14ac:dyDescent="0.25">
      <c r="A142" s="40"/>
      <c r="B142" s="42" t="s">
        <v>972</v>
      </c>
      <c r="C142" s="43"/>
      <c r="D142" s="42" t="s">
        <v>29</v>
      </c>
      <c r="E142" s="42" t="s">
        <v>943</v>
      </c>
      <c r="F142" s="44"/>
      <c r="G142" s="42" t="s">
        <v>973</v>
      </c>
      <c r="H142" s="45">
        <v>3</v>
      </c>
      <c r="I142" s="46" t="s">
        <v>974</v>
      </c>
      <c r="J142" s="47">
        <v>0</v>
      </c>
      <c r="K142" s="48" t="s">
        <v>975</v>
      </c>
      <c r="L142" s="44" t="s">
        <v>976</v>
      </c>
      <c r="M142" s="42" t="s">
        <v>547</v>
      </c>
      <c r="N142" s="42" t="s">
        <v>977</v>
      </c>
      <c r="O142" s="42"/>
      <c r="P142" s="42"/>
      <c r="Q142" s="42"/>
      <c r="R142" s="42"/>
      <c r="S142" s="42"/>
      <c r="T142" s="42"/>
    </row>
    <row r="143" spans="1:20" x14ac:dyDescent="0.25">
      <c r="A143" t="s">
        <v>978</v>
      </c>
      <c r="B143" s="26" t="s">
        <v>979</v>
      </c>
      <c r="C143" s="27"/>
      <c r="D143" s="26" t="s">
        <v>29</v>
      </c>
      <c r="E143" s="26" t="s">
        <v>943</v>
      </c>
      <c r="F143" s="33"/>
      <c r="G143" s="26" t="s">
        <v>980</v>
      </c>
      <c r="H143" s="31">
        <v>20</v>
      </c>
      <c r="I143" s="32"/>
      <c r="J143" s="11">
        <v>1</v>
      </c>
      <c r="K143" s="12" t="s">
        <v>981</v>
      </c>
      <c r="L143" s="33" t="s">
        <v>982</v>
      </c>
      <c r="M143" s="26" t="s">
        <v>983</v>
      </c>
      <c r="N143" s="26" t="s">
        <v>984</v>
      </c>
      <c r="O143" s="26" t="s">
        <v>985</v>
      </c>
      <c r="P143" s="26" t="s">
        <v>986</v>
      </c>
      <c r="Q143" s="26" t="s">
        <v>903</v>
      </c>
      <c r="R143" s="26" t="s">
        <v>958</v>
      </c>
      <c r="S143" s="26" t="s">
        <v>491</v>
      </c>
      <c r="T143" s="26"/>
    </row>
    <row r="144" spans="1:20" s="14" customFormat="1" x14ac:dyDescent="0.25">
      <c r="A144" s="16"/>
      <c r="B144" s="17" t="s">
        <v>987</v>
      </c>
      <c r="C144" s="18"/>
      <c r="D144" s="17" t="s">
        <v>29</v>
      </c>
      <c r="E144" s="17" t="s">
        <v>943</v>
      </c>
      <c r="F144" s="25"/>
      <c r="G144" s="17" t="s">
        <v>988</v>
      </c>
      <c r="H144" s="22">
        <v>20</v>
      </c>
      <c r="I144" s="23"/>
      <c r="J144" s="15">
        <v>0</v>
      </c>
      <c r="K144" s="24" t="s">
        <v>989</v>
      </c>
      <c r="L144" s="25" t="s">
        <v>990</v>
      </c>
      <c r="M144" s="17" t="s">
        <v>991</v>
      </c>
      <c r="N144" s="17" t="s">
        <v>992</v>
      </c>
      <c r="O144" s="17"/>
      <c r="P144" s="17"/>
      <c r="Q144" s="17"/>
      <c r="R144" s="17"/>
      <c r="S144" s="17"/>
      <c r="T144" s="17"/>
    </row>
    <row r="145" spans="1:20" s="16" customFormat="1" x14ac:dyDescent="0.25">
      <c r="A145" s="16" t="s">
        <v>993</v>
      </c>
      <c r="B145" s="17" t="s">
        <v>994</v>
      </c>
      <c r="C145" s="18">
        <v>7</v>
      </c>
      <c r="D145" s="17" t="s">
        <v>29</v>
      </c>
      <c r="E145" s="17" t="s">
        <v>943</v>
      </c>
      <c r="F145" s="25"/>
      <c r="G145" s="17" t="s">
        <v>995</v>
      </c>
      <c r="H145" s="22">
        <v>20</v>
      </c>
      <c r="I145" s="23"/>
      <c r="J145" s="15">
        <v>1</v>
      </c>
      <c r="K145" s="24" t="s">
        <v>996</v>
      </c>
      <c r="L145" s="25" t="s">
        <v>997</v>
      </c>
      <c r="M145" s="17" t="s">
        <v>998</v>
      </c>
      <c r="N145" s="17" t="s">
        <v>84</v>
      </c>
      <c r="O145" s="17" t="s">
        <v>433</v>
      </c>
      <c r="P145" s="17" t="s">
        <v>285</v>
      </c>
      <c r="Q145" s="17" t="s">
        <v>673</v>
      </c>
      <c r="R145" s="17" t="s">
        <v>600</v>
      </c>
      <c r="S145" s="17" t="s">
        <v>404</v>
      </c>
      <c r="T145" s="17"/>
    </row>
    <row r="146" spans="2:38" s="16" customFormat="1" x14ac:dyDescent="0.25">
      <c r="B146" s="17" t="s">
        <v>999</v>
      </c>
      <c r="C146" s="18"/>
      <c r="D146" s="17" t="s">
        <v>5</v>
      </c>
      <c r="E146" s="17" t="s">
        <v>1000</v>
      </c>
      <c r="F146" s="25"/>
      <c r="G146" s="17" t="s">
        <v>1001</v>
      </c>
      <c r="H146" s="100">
        <v>18</v>
      </c>
      <c r="I146" s="23"/>
      <c r="J146" s="96">
        <v>0</v>
      </c>
      <c r="K146" s="24" t="s">
        <v>560</v>
      </c>
      <c r="L146" s="25" t="s">
        <v>1002</v>
      </c>
      <c r="M146" s="17" t="s">
        <v>762</v>
      </c>
      <c r="N146" s="17" t="s">
        <v>763</v>
      </c>
      <c r="O146" s="17" t="s">
        <v>388</v>
      </c>
      <c r="P146" s="17" t="s">
        <v>674</v>
      </c>
      <c r="Q146" s="17" t="s">
        <v>1003</v>
      </c>
      <c r="R146" s="17" t="s">
        <v>1004</v>
      </c>
      <c r="S146" s="17"/>
      <c r="T146" s="17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1:38" s="40" customFormat="1" x14ac:dyDescent="0.25">
      <c r="A147" s="16" t="s">
        <v>1005</v>
      </c>
      <c r="B147" s="17" t="s">
        <v>1006</v>
      </c>
      <c r="C147" s="18">
        <v>7.2</v>
      </c>
      <c r="D147" s="17" t="s">
        <v>29</v>
      </c>
      <c r="E147" s="17" t="s">
        <v>1000</v>
      </c>
      <c r="F147" s="25"/>
      <c r="G147" s="17" t="s">
        <v>1007</v>
      </c>
      <c r="H147" s="100">
        <v>20</v>
      </c>
      <c r="I147" s="23"/>
      <c r="J147" s="96">
        <v>1</v>
      </c>
      <c r="K147" s="24" t="s">
        <v>211</v>
      </c>
      <c r="L147" s="25" t="s">
        <v>895</v>
      </c>
      <c r="M147" s="17"/>
      <c r="N147" s="17" t="s">
        <v>1008</v>
      </c>
      <c r="O147" s="17" t="s">
        <v>1009</v>
      </c>
      <c r="P147" s="17" t="s">
        <v>265</v>
      </c>
      <c r="Q147" s="17" t="s">
        <v>423</v>
      </c>
      <c r="R147" s="17" t="s">
        <v>65</v>
      </c>
      <c r="S147" s="17" t="s">
        <v>135</v>
      </c>
      <c r="T147" s="17" t="s">
        <v>463</v>
      </c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1:20" s="14" customFormat="1" x14ac:dyDescent="0.25">
      <c r="A148" s="4" t="s">
        <v>1010</v>
      </c>
      <c r="B148" s="55" t="s">
        <v>1011</v>
      </c>
      <c r="C148" s="59">
        <v>7</v>
      </c>
      <c r="D148" s="55" t="s">
        <v>29</v>
      </c>
      <c r="E148" s="55" t="s">
        <v>1000</v>
      </c>
      <c r="F148" s="60"/>
      <c r="G148" s="55" t="s">
        <v>1012</v>
      </c>
      <c r="H148" s="61">
        <v>4</v>
      </c>
      <c r="I148" s="62"/>
      <c r="J148" s="105">
        <v>8</v>
      </c>
      <c r="K148" s="12" t="s">
        <v>1013</v>
      </c>
      <c r="L148" s="33" t="s">
        <v>1014</v>
      </c>
      <c r="M148" s="26" t="s">
        <v>1015</v>
      </c>
      <c r="N148" s="26" t="s">
        <v>174</v>
      </c>
      <c r="O148" s="26" t="s">
        <v>212</v>
      </c>
      <c r="P148" s="26" t="s">
        <v>1016</v>
      </c>
      <c r="Q148" s="26" t="s">
        <v>736</v>
      </c>
      <c r="R148" s="4" t="s">
        <v>965</v>
      </c>
      <c r="S148" s="26"/>
      <c r="T148" s="26" t="s">
        <v>133</v>
      </c>
    </row>
    <row r="149" spans="1:20" s="14" customFormat="1" x14ac:dyDescent="0.25">
      <c r="A149" s="40"/>
      <c r="B149" s="85" t="s">
        <v>1017</v>
      </c>
      <c r="C149" s="86"/>
      <c r="D149" s="64" t="s">
        <v>29</v>
      </c>
      <c r="E149" s="42" t="s">
        <v>1000</v>
      </c>
      <c r="F149" s="44"/>
      <c r="G149" s="64" t="s">
        <v>1018</v>
      </c>
      <c r="H149" s="57">
        <v>5</v>
      </c>
      <c r="I149" s="46" t="s">
        <v>1019</v>
      </c>
      <c r="J149" s="47">
        <v>0</v>
      </c>
      <c r="K149" s="48" t="s">
        <v>1020</v>
      </c>
      <c r="L149" s="44" t="s">
        <v>126</v>
      </c>
      <c r="M149" s="42" t="s">
        <v>1021</v>
      </c>
      <c r="N149" s="42" t="s">
        <v>107</v>
      </c>
      <c r="O149" s="42" t="s">
        <v>1022</v>
      </c>
      <c r="P149" s="42" t="s">
        <v>1023</v>
      </c>
      <c r="Q149" s="42" t="s">
        <v>191</v>
      </c>
      <c r="R149" s="42" t="s">
        <v>1024</v>
      </c>
      <c r="S149" s="42" t="s">
        <v>1025</v>
      </c>
      <c r="T149" s="42" t="s">
        <v>537</v>
      </c>
    </row>
    <row r="150" spans="1:20" x14ac:dyDescent="0.25">
      <c r="A150" s="4"/>
      <c r="B150" s="76" t="s">
        <v>1026</v>
      </c>
      <c r="C150" s="77">
        <v>7</v>
      </c>
      <c r="D150" s="76" t="s">
        <v>29</v>
      </c>
      <c r="E150" s="76" t="s">
        <v>1000</v>
      </c>
      <c r="F150" s="30"/>
      <c r="G150" s="76" t="s">
        <v>1027</v>
      </c>
      <c r="H150" s="78">
        <v>5</v>
      </c>
      <c r="I150" s="38" t="s">
        <v>1028</v>
      </c>
      <c r="J150" s="37">
        <v>0</v>
      </c>
      <c r="K150" s="34" t="s">
        <v>1029</v>
      </c>
      <c r="L150" s="33" t="s">
        <v>426</v>
      </c>
      <c r="M150" s="26" t="s">
        <v>1030</v>
      </c>
      <c r="N150" s="26"/>
      <c r="O150" s="26" t="s">
        <v>1031</v>
      </c>
      <c r="P150" s="26" t="s">
        <v>473</v>
      </c>
      <c r="Q150" s="26" t="s">
        <v>673</v>
      </c>
      <c r="R150" s="26" t="s">
        <v>1032</v>
      </c>
      <c r="S150" s="26" t="s">
        <v>1033</v>
      </c>
      <c r="T150" s="26" t="s">
        <v>75</v>
      </c>
    </row>
    <row r="151" spans="1:38" s="65" customFormat="1" x14ac:dyDescent="0.25">
      <c r="A151" s="4" t="s">
        <v>1034</v>
      </c>
      <c r="B151" s="26" t="s">
        <v>1035</v>
      </c>
      <c r="C151" s="27">
        <v>7</v>
      </c>
      <c r="D151" s="26" t="s">
        <v>29</v>
      </c>
      <c r="E151" s="26" t="s">
        <v>1036</v>
      </c>
      <c r="F151" s="33"/>
      <c r="G151" s="26" t="s">
        <v>1037</v>
      </c>
      <c r="H151" s="31">
        <v>10</v>
      </c>
      <c r="I151" s="10" t="s">
        <v>1038</v>
      </c>
      <c r="J151" s="11">
        <v>3</v>
      </c>
      <c r="K151" s="12" t="s">
        <v>469</v>
      </c>
      <c r="L151" s="33" t="s">
        <v>1039</v>
      </c>
      <c r="M151" s="26" t="s">
        <v>388</v>
      </c>
      <c r="N151" s="26" t="s">
        <v>432</v>
      </c>
      <c r="O151" s="26" t="s">
        <v>1040</v>
      </c>
      <c r="P151" s="26" t="s">
        <v>1041</v>
      </c>
      <c r="Q151" s="26" t="s">
        <v>473</v>
      </c>
      <c r="R151" s="26" t="s">
        <v>212</v>
      </c>
      <c r="S151" s="26" t="s">
        <v>965</v>
      </c>
      <c r="T151" s="26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2:20" s="40" customFormat="1" x14ac:dyDescent="0.25">
      <c r="B152" s="42" t="s">
        <v>1042</v>
      </c>
      <c r="C152" s="43"/>
      <c r="D152" s="42" t="s">
        <v>1043</v>
      </c>
      <c r="E152" s="106" t="s">
        <v>1044</v>
      </c>
      <c r="F152" s="87"/>
      <c r="G152" s="42" t="s">
        <v>1045</v>
      </c>
      <c r="H152" s="45">
        <v>20</v>
      </c>
      <c r="I152" s="46"/>
      <c r="J152" s="47">
        <v>0</v>
      </c>
      <c r="K152" s="48" t="s">
        <v>1046</v>
      </c>
      <c r="L152" s="44" t="s">
        <v>1047</v>
      </c>
      <c r="M152" s="42" t="s">
        <v>1048</v>
      </c>
      <c r="N152" s="42"/>
      <c r="O152" s="42"/>
      <c r="P152" s="42"/>
      <c r="Q152" s="42"/>
      <c r="R152" s="42"/>
      <c r="S152" s="42"/>
      <c r="T152" s="42"/>
    </row>
    <row r="153" spans="1:20" x14ac:dyDescent="0.25">
      <c r="A153" t="s">
        <v>1049</v>
      </c>
      <c r="B153" s="76" t="s">
        <v>1050</v>
      </c>
      <c r="C153" s="77"/>
      <c r="D153" s="55" t="s">
        <v>5</v>
      </c>
      <c r="E153" s="26" t="s">
        <v>1051</v>
      </c>
      <c r="F153" s="33"/>
      <c r="G153" s="55" t="s">
        <v>1052</v>
      </c>
      <c r="H153" s="56">
        <v>27</v>
      </c>
      <c r="I153" s="32"/>
      <c r="J153" s="11">
        <v>3</v>
      </c>
      <c r="K153" s="12" t="s">
        <v>1053</v>
      </c>
      <c r="L153" s="33" t="s">
        <v>1054</v>
      </c>
      <c r="M153" s="26" t="s">
        <v>1055</v>
      </c>
      <c r="N153" s="26"/>
      <c r="O153" s="26"/>
      <c r="P153" s="26"/>
      <c r="Q153" s="26"/>
      <c r="R153" s="26"/>
      <c r="S153" s="26"/>
      <c r="T153" s="26"/>
    </row>
    <row r="154" spans="1:20" x14ac:dyDescent="0.25">
      <c r="A154" s="40"/>
      <c r="B154" s="85" t="s">
        <v>1042</v>
      </c>
      <c r="C154" s="86"/>
      <c r="D154" s="64" t="s">
        <v>5</v>
      </c>
      <c r="E154" s="42" t="s">
        <v>1056</v>
      </c>
      <c r="F154" s="44"/>
      <c r="G154" s="64" t="s">
        <v>1057</v>
      </c>
      <c r="H154" s="57">
        <v>24</v>
      </c>
      <c r="I154" s="46"/>
      <c r="J154" s="47">
        <v>0</v>
      </c>
      <c r="K154" s="48" t="s">
        <v>1058</v>
      </c>
      <c r="L154" s="44" t="s">
        <v>900</v>
      </c>
      <c r="M154" s="42" t="s">
        <v>22</v>
      </c>
      <c r="N154" s="42" t="s">
        <v>1059</v>
      </c>
      <c r="O154" s="42" t="s">
        <v>345</v>
      </c>
      <c r="P154" s="42"/>
      <c r="Q154" s="42"/>
      <c r="R154" s="42"/>
      <c r="S154" s="42"/>
      <c r="T154" s="42"/>
    </row>
    <row r="155" spans="1:20" s="14" customFormat="1" x14ac:dyDescent="0.25">
      <c r="A155" s="40"/>
      <c r="B155" s="85" t="s">
        <v>1060</v>
      </c>
      <c r="C155" s="86"/>
      <c r="D155" s="64" t="s">
        <v>5</v>
      </c>
      <c r="E155" s="42" t="s">
        <v>1056</v>
      </c>
      <c r="F155" s="44"/>
      <c r="G155" s="64" t="s">
        <v>1061</v>
      </c>
      <c r="H155" s="57">
        <v>24</v>
      </c>
      <c r="I155" s="46"/>
      <c r="J155" s="47">
        <v>0</v>
      </c>
      <c r="K155" s="48" t="s">
        <v>1062</v>
      </c>
      <c r="L155" s="44" t="s">
        <v>1063</v>
      </c>
      <c r="M155" s="42" t="s">
        <v>1064</v>
      </c>
      <c r="N155" s="42" t="s">
        <v>588</v>
      </c>
      <c r="O155" s="42" t="s">
        <v>1065</v>
      </c>
      <c r="P155" s="42" t="s">
        <v>1066</v>
      </c>
      <c r="Q155" s="42" t="s">
        <v>84</v>
      </c>
      <c r="R155" s="42"/>
      <c r="S155" s="42"/>
      <c r="T155" s="42"/>
    </row>
    <row r="156" spans="1:20" s="14" customFormat="1" x14ac:dyDescent="0.25">
      <c r="A156" s="40"/>
      <c r="B156" s="85" t="s">
        <v>1067</v>
      </c>
      <c r="C156" s="86"/>
      <c r="D156" s="64" t="s">
        <v>5</v>
      </c>
      <c r="E156" s="42" t="s">
        <v>1056</v>
      </c>
      <c r="F156" s="44"/>
      <c r="G156" s="64" t="s">
        <v>1068</v>
      </c>
      <c r="H156" s="57">
        <v>24</v>
      </c>
      <c r="I156" s="46"/>
      <c r="J156" s="47">
        <v>0</v>
      </c>
      <c r="K156" s="48" t="s">
        <v>1062</v>
      </c>
      <c r="L156" s="44" t="s">
        <v>900</v>
      </c>
      <c r="M156" s="42" t="s">
        <v>1069</v>
      </c>
      <c r="N156" s="42" t="s">
        <v>912</v>
      </c>
      <c r="O156" s="42" t="s">
        <v>1070</v>
      </c>
      <c r="P156" s="42" t="s">
        <v>1071</v>
      </c>
      <c r="Q156" s="42" t="s">
        <v>1072</v>
      </c>
      <c r="R156" s="42"/>
      <c r="S156" s="42"/>
      <c r="T156" s="42"/>
    </row>
    <row r="157" spans="2:38" s="16" customFormat="1" x14ac:dyDescent="0.25">
      <c r="B157" s="107" t="s">
        <v>1073</v>
      </c>
      <c r="C157" s="108"/>
      <c r="D157" s="42" t="s">
        <v>29</v>
      </c>
      <c r="E157" s="42" t="s">
        <v>1074</v>
      </c>
      <c r="F157" s="44"/>
      <c r="G157" s="85" t="s">
        <v>1075</v>
      </c>
      <c r="H157" s="88">
        <v>10</v>
      </c>
      <c r="I157" s="46" t="s">
        <v>1076</v>
      </c>
      <c r="J157" s="90">
        <v>0</v>
      </c>
      <c r="K157" s="98" t="s">
        <v>1077</v>
      </c>
      <c r="L157" s="44"/>
      <c r="M157" s="42"/>
      <c r="N157" s="42"/>
      <c r="O157" s="42"/>
      <c r="P157" s="42"/>
      <c r="Q157" s="42"/>
      <c r="R157" s="42"/>
      <c r="S157" s="42"/>
      <c r="T157" s="42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2:38" s="40" customFormat="1" x14ac:dyDescent="0.25">
      <c r="B158" s="42" t="s">
        <v>1078</v>
      </c>
      <c r="C158" s="43"/>
      <c r="D158" s="42" t="s">
        <v>5</v>
      </c>
      <c r="E158" s="106" t="s">
        <v>1079</v>
      </c>
      <c r="F158" s="87"/>
      <c r="G158" s="42" t="s">
        <v>1080</v>
      </c>
      <c r="H158" s="45">
        <v>10</v>
      </c>
      <c r="I158" s="46"/>
      <c r="J158" s="90">
        <v>0</v>
      </c>
      <c r="K158" s="48" t="s">
        <v>1081</v>
      </c>
      <c r="L158" s="44" t="s">
        <v>1082</v>
      </c>
      <c r="M158" s="42" t="s">
        <v>827</v>
      </c>
      <c r="N158" s="42" t="s">
        <v>760</v>
      </c>
      <c r="O158" s="42" t="s">
        <v>1083</v>
      </c>
      <c r="P158" s="42"/>
      <c r="Q158" s="42"/>
      <c r="R158" s="42"/>
      <c r="S158" s="42"/>
      <c r="T158" s="42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1:38" s="40" customFormat="1" x14ac:dyDescent="0.25">
      <c r="A159" s="40" t="s">
        <v>1084</v>
      </c>
      <c r="B159" s="42" t="s">
        <v>1085</v>
      </c>
      <c r="C159" s="43"/>
      <c r="D159" s="42" t="s">
        <v>29</v>
      </c>
      <c r="E159" s="106" t="s">
        <v>1086</v>
      </c>
      <c r="F159" s="87"/>
      <c r="G159" s="42" t="s">
        <v>1087</v>
      </c>
      <c r="H159" s="45">
        <v>24</v>
      </c>
      <c r="I159" s="46"/>
      <c r="J159" s="47">
        <v>0</v>
      </c>
      <c r="K159" s="109" t="s">
        <v>1088</v>
      </c>
      <c r="L159" s="44" t="s">
        <v>512</v>
      </c>
      <c r="M159" s="42"/>
      <c r="N159" s="42"/>
      <c r="O159" s="42"/>
      <c r="P159" s="42"/>
      <c r="Q159" s="42"/>
      <c r="R159" s="42"/>
      <c r="S159" s="42"/>
      <c r="T159" s="42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1:20" x14ac:dyDescent="0.25">
      <c r="A160" t="s">
        <v>1089</v>
      </c>
      <c r="B160" s="6" t="s">
        <v>1090</v>
      </c>
      <c r="C160" s="7">
        <v>8.1</v>
      </c>
      <c r="D160" s="6" t="s">
        <v>5</v>
      </c>
      <c r="E160" s="74" t="s">
        <v>1091</v>
      </c>
      <c r="F160" s="75"/>
      <c r="G160" s="6" t="s">
        <v>1092</v>
      </c>
      <c r="H160" s="50">
        <v>12</v>
      </c>
      <c r="I160" s="10"/>
      <c r="J160" s="51">
        <v>1</v>
      </c>
      <c r="K160" s="110" t="s">
        <v>889</v>
      </c>
      <c r="L160" s="8" t="s">
        <v>258</v>
      </c>
      <c r="M160" s="6" t="s">
        <v>403</v>
      </c>
      <c r="N160" s="6"/>
      <c r="O160" s="6"/>
      <c r="P160" s="6"/>
      <c r="Q160" s="6"/>
      <c r="R160" s="6"/>
      <c r="S160" s="6"/>
      <c r="T160" s="6"/>
    </row>
    <row r="161" spans="2:20" s="14" customFormat="1" x14ac:dyDescent="0.25">
      <c r="B161" s="42" t="s">
        <v>1093</v>
      </c>
      <c r="C161" s="43"/>
      <c r="D161" s="42" t="s">
        <v>29</v>
      </c>
      <c r="E161" s="42" t="s">
        <v>1094</v>
      </c>
      <c r="F161" s="44"/>
      <c r="G161" s="42" t="s">
        <v>1095</v>
      </c>
      <c r="H161" s="45">
        <v>10</v>
      </c>
      <c r="I161" s="46"/>
      <c r="J161" s="47">
        <v>0</v>
      </c>
      <c r="K161" s="48" t="s">
        <v>1096</v>
      </c>
      <c r="L161" s="44" t="s">
        <v>1097</v>
      </c>
      <c r="M161" s="42" t="s">
        <v>1098</v>
      </c>
      <c r="N161" s="42"/>
      <c r="O161" s="42"/>
      <c r="P161" s="42"/>
      <c r="Q161" s="42"/>
      <c r="R161" s="42"/>
      <c r="S161" s="42"/>
      <c r="T161" s="42"/>
    </row>
    <row r="162" spans="1:20" x14ac:dyDescent="0.25">
      <c r="A162" s="4"/>
      <c r="B162" s="26" t="s">
        <v>1099</v>
      </c>
      <c r="C162" s="27"/>
      <c r="D162" s="26" t="s">
        <v>29</v>
      </c>
      <c r="E162" s="26" t="s">
        <v>1094</v>
      </c>
      <c r="F162" s="33"/>
      <c r="G162" s="26" t="s">
        <v>1100</v>
      </c>
      <c r="H162" s="31">
        <v>10</v>
      </c>
      <c r="I162" s="32"/>
      <c r="J162" s="15">
        <v>0</v>
      </c>
      <c r="K162" s="12"/>
      <c r="L162" s="33" t="s">
        <v>1101</v>
      </c>
      <c r="M162" s="26" t="s">
        <v>1102</v>
      </c>
      <c r="N162" s="26" t="s">
        <v>214</v>
      </c>
      <c r="O162" s="26" t="s">
        <v>350</v>
      </c>
      <c r="P162" s="26"/>
      <c r="Q162" s="26"/>
      <c r="R162" s="26"/>
      <c r="S162" s="26"/>
      <c r="T162" s="26"/>
    </row>
    <row r="163" spans="1:38" s="16" customFormat="1" x14ac:dyDescent="0.25">
      <c r="A163" t="s">
        <v>1103</v>
      </c>
      <c r="B163" s="26" t="s">
        <v>1104</v>
      </c>
      <c r="C163" s="27"/>
      <c r="D163" s="26" t="s">
        <v>29</v>
      </c>
      <c r="E163" s="26" t="s">
        <v>1094</v>
      </c>
      <c r="F163" s="33"/>
      <c r="G163" s="26" t="s">
        <v>1105</v>
      </c>
      <c r="H163" s="31">
        <v>10</v>
      </c>
      <c r="I163" s="32"/>
      <c r="J163" s="11">
        <v>3</v>
      </c>
      <c r="K163" s="12" t="s">
        <v>1106</v>
      </c>
      <c r="L163" s="33" t="s">
        <v>1107</v>
      </c>
      <c r="M163" s="26" t="s">
        <v>1108</v>
      </c>
      <c r="N163" s="26"/>
      <c r="O163" s="26"/>
      <c r="P163" s="26"/>
      <c r="Q163" s="26"/>
      <c r="R163" s="26"/>
      <c r="S163" s="26"/>
      <c r="T163" s="26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1:20" x14ac:dyDescent="0.25">
      <c r="A164" s="40" t="s">
        <v>1109</v>
      </c>
      <c r="B164" s="26" t="s">
        <v>1110</v>
      </c>
      <c r="C164" s="27"/>
      <c r="D164" s="26" t="s">
        <v>29</v>
      </c>
      <c r="E164" s="26" t="s">
        <v>1094</v>
      </c>
      <c r="F164" s="33"/>
      <c r="G164" s="26" t="s">
        <v>1111</v>
      </c>
      <c r="H164" s="31">
        <v>5</v>
      </c>
      <c r="I164" s="32"/>
      <c r="J164" s="11">
        <v>1</v>
      </c>
      <c r="K164" s="12"/>
      <c r="L164" s="33" t="s">
        <v>106</v>
      </c>
      <c r="M164" s="111" t="s">
        <v>1112</v>
      </c>
      <c r="N164" s="111" t="s">
        <v>910</v>
      </c>
      <c r="O164" s="111"/>
      <c r="P164" s="26"/>
      <c r="Q164" s="26"/>
      <c r="R164" s="26"/>
      <c r="S164" s="26"/>
      <c r="T164" s="26"/>
    </row>
    <row r="165" spans="2:38" s="16" customFormat="1" x14ac:dyDescent="0.25">
      <c r="B165" s="26" t="s">
        <v>1113</v>
      </c>
      <c r="C165" s="27"/>
      <c r="D165" s="26" t="s">
        <v>29</v>
      </c>
      <c r="E165" s="26" t="s">
        <v>1094</v>
      </c>
      <c r="F165" s="33"/>
      <c r="G165" s="26" t="s">
        <v>1114</v>
      </c>
      <c r="H165" s="31">
        <v>10</v>
      </c>
      <c r="I165" s="32"/>
      <c r="J165" s="15">
        <v>0</v>
      </c>
      <c r="K165" s="12" t="s">
        <v>1115</v>
      </c>
      <c r="L165" s="33" t="s">
        <v>1116</v>
      </c>
      <c r="M165" s="111" t="s">
        <v>1117</v>
      </c>
      <c r="N165" s="111" t="s">
        <v>818</v>
      </c>
      <c r="O165" s="111" t="s">
        <v>871</v>
      </c>
      <c r="P165" s="26"/>
      <c r="Q165" s="26"/>
      <c r="R165" s="26"/>
      <c r="S165" s="26"/>
      <c r="T165" s="26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spans="2:20" s="14" customFormat="1" x14ac:dyDescent="0.25">
      <c r="B166" s="26" t="s">
        <v>1118</v>
      </c>
      <c r="C166" s="27"/>
      <c r="D166" s="26" t="s">
        <v>29</v>
      </c>
      <c r="E166" s="26" t="s">
        <v>1094</v>
      </c>
      <c r="F166" s="33"/>
      <c r="G166" s="26" t="s">
        <v>1119</v>
      </c>
      <c r="H166" s="31">
        <v>10</v>
      </c>
      <c r="I166" s="32"/>
      <c r="J166" s="15">
        <v>0</v>
      </c>
      <c r="K166" s="12" t="s">
        <v>1120</v>
      </c>
      <c r="L166" s="33"/>
      <c r="M166" s="111"/>
      <c r="N166" s="111"/>
      <c r="O166" s="111"/>
      <c r="P166" s="26"/>
      <c r="Q166" s="26"/>
      <c r="R166" s="26"/>
      <c r="S166" s="26"/>
      <c r="T166" s="26"/>
    </row>
    <row r="167" spans="1:38" s="16" customFormat="1" x14ac:dyDescent="0.25">
      <c r="A167" s="16" t="s">
        <v>1121</v>
      </c>
      <c r="B167" s="17" t="s">
        <v>1122</v>
      </c>
      <c r="C167" s="18">
        <v>6.8</v>
      </c>
      <c r="D167" s="17" t="s">
        <v>29</v>
      </c>
      <c r="E167" s="17" t="s">
        <v>1094</v>
      </c>
      <c r="F167" s="25"/>
      <c r="G167" s="17" t="s">
        <v>1123</v>
      </c>
      <c r="H167" s="22">
        <v>10</v>
      </c>
      <c r="I167" s="23"/>
      <c r="J167" s="15">
        <v>0</v>
      </c>
      <c r="K167" s="24" t="s">
        <v>1124</v>
      </c>
      <c r="L167" s="25" t="s">
        <v>62</v>
      </c>
      <c r="M167" s="17" t="s">
        <v>413</v>
      </c>
      <c r="N167" s="17"/>
      <c r="O167" s="17" t="s">
        <v>615</v>
      </c>
      <c r="P167" s="17" t="s">
        <v>1125</v>
      </c>
      <c r="Q167" s="17" t="s">
        <v>706</v>
      </c>
      <c r="R167" s="17" t="s">
        <v>1126</v>
      </c>
      <c r="S167" s="17" t="s">
        <v>250</v>
      </c>
      <c r="T167" s="17" t="s">
        <v>612</v>
      </c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spans="2:20" s="14" customFormat="1" x14ac:dyDescent="0.25">
      <c r="B168" s="42" t="s">
        <v>1127</v>
      </c>
      <c r="C168" s="43"/>
      <c r="D168" s="42" t="s">
        <v>5</v>
      </c>
      <c r="E168" s="42" t="s">
        <v>1128</v>
      </c>
      <c r="F168" s="44"/>
      <c r="G168" s="42" t="s">
        <v>1129</v>
      </c>
      <c r="H168" s="57">
        <v>9</v>
      </c>
      <c r="I168" s="46"/>
      <c r="J168" s="47">
        <v>0</v>
      </c>
      <c r="K168" s="34" t="s">
        <v>1130</v>
      </c>
      <c r="L168" s="33" t="s">
        <v>34</v>
      </c>
      <c r="M168" s="26" t="s">
        <v>1131</v>
      </c>
      <c r="N168" s="26"/>
      <c r="O168" s="26"/>
      <c r="P168" s="26"/>
      <c r="Q168" s="26"/>
      <c r="R168" s="26"/>
      <c r="S168" s="26"/>
      <c r="T168" s="26"/>
    </row>
    <row r="169" spans="1:20" x14ac:dyDescent="0.25">
      <c r="A169" t="s">
        <v>1132</v>
      </c>
      <c r="B169" s="49" t="s">
        <v>1133</v>
      </c>
      <c r="C169" s="103">
        <v>7.1</v>
      </c>
      <c r="D169" s="49" t="s">
        <v>29</v>
      </c>
      <c r="E169" s="49" t="s">
        <v>1128</v>
      </c>
      <c r="F169" s="75"/>
      <c r="G169" s="49" t="s">
        <v>1134</v>
      </c>
      <c r="H169" s="112">
        <v>4</v>
      </c>
      <c r="I169" s="113"/>
      <c r="J169" s="96">
        <v>0</v>
      </c>
      <c r="K169" s="114" t="s">
        <v>1135</v>
      </c>
      <c r="L169" s="75" t="s">
        <v>673</v>
      </c>
      <c r="M169" s="49" t="s">
        <v>163</v>
      </c>
      <c r="N169" s="49" t="s">
        <v>1033</v>
      </c>
      <c r="O169" s="49" t="s">
        <v>60</v>
      </c>
      <c r="P169" t="s">
        <v>461</v>
      </c>
      <c r="Q169" s="49" t="s">
        <v>553</v>
      </c>
      <c r="R169" s="49" t="s">
        <v>404</v>
      </c>
      <c r="S169" s="49" t="s">
        <v>405</v>
      </c>
      <c r="T169" s="49"/>
    </row>
    <row r="170" spans="2:20" x14ac:dyDescent="0.25">
      <c r="B170" s="85" t="s">
        <v>1136</v>
      </c>
      <c r="C170" s="86"/>
      <c r="D170" s="85" t="s">
        <v>29</v>
      </c>
      <c r="E170" s="85" t="s">
        <v>1128</v>
      </c>
      <c r="F170" s="87"/>
      <c r="G170" s="85" t="s">
        <v>1137</v>
      </c>
      <c r="H170" s="88">
        <v>4</v>
      </c>
      <c r="I170" s="89"/>
      <c r="J170" s="90">
        <v>0</v>
      </c>
      <c r="K170" s="98"/>
      <c r="L170" s="87" t="s">
        <v>1138</v>
      </c>
      <c r="M170" s="85"/>
      <c r="N170" s="85"/>
      <c r="O170" s="85"/>
      <c r="P170" s="85"/>
      <c r="Q170" s="85"/>
      <c r="R170" s="85"/>
      <c r="S170" s="85"/>
      <c r="T170" s="85"/>
    </row>
    <row r="171" spans="2:20" s="14" customFormat="1" x14ac:dyDescent="0.25">
      <c r="B171" s="42" t="s">
        <v>1139</v>
      </c>
      <c r="C171" s="43"/>
      <c r="D171" s="42" t="s">
        <v>29</v>
      </c>
      <c r="E171" s="42" t="s">
        <v>1128</v>
      </c>
      <c r="F171" s="44"/>
      <c r="G171" s="42" t="s">
        <v>1140</v>
      </c>
      <c r="H171" s="45">
        <v>22</v>
      </c>
      <c r="I171" s="46"/>
      <c r="J171" s="47">
        <v>0</v>
      </c>
      <c r="K171" s="48" t="s">
        <v>1141</v>
      </c>
      <c r="L171" s="44" t="s">
        <v>333</v>
      </c>
      <c r="M171" s="42"/>
      <c r="N171" s="42"/>
      <c r="O171" s="42"/>
      <c r="P171" s="42"/>
      <c r="Q171" s="42"/>
      <c r="R171" s="42"/>
      <c r="S171" s="42"/>
      <c r="T171" s="42"/>
    </row>
    <row r="172" spans="1:20" s="14" customFormat="1" x14ac:dyDescent="0.25">
      <c r="A172" s="4" t="s">
        <v>1142</v>
      </c>
      <c r="B172" s="26" t="s">
        <v>1143</v>
      </c>
      <c r="C172" s="27">
        <v>7.1</v>
      </c>
      <c r="D172" s="26" t="s">
        <v>29</v>
      </c>
      <c r="E172" s="29" t="s">
        <v>1128</v>
      </c>
      <c r="F172" s="30"/>
      <c r="G172" s="26" t="s">
        <v>1144</v>
      </c>
      <c r="H172" s="31">
        <v>20</v>
      </c>
      <c r="I172" s="32"/>
      <c r="J172" s="11">
        <v>3</v>
      </c>
      <c r="K172" s="34" t="s">
        <v>264</v>
      </c>
      <c r="L172" s="33" t="s">
        <v>33</v>
      </c>
      <c r="M172" s="26" t="s">
        <v>1145</v>
      </c>
      <c r="N172" s="26" t="s">
        <v>1146</v>
      </c>
      <c r="O172" s="115" t="s">
        <v>142</v>
      </c>
      <c r="P172" s="26" t="s">
        <v>1147</v>
      </c>
      <c r="Q172" s="26" t="s">
        <v>1148</v>
      </c>
      <c r="R172" s="26"/>
      <c r="S172" s="26"/>
      <c r="T172" s="26"/>
    </row>
    <row r="173" spans="1:20" x14ac:dyDescent="0.25">
      <c r="A173" s="4" t="s">
        <v>1149</v>
      </c>
      <c r="B173" s="26" t="s">
        <v>1150</v>
      </c>
      <c r="C173" s="27"/>
      <c r="D173" s="26" t="s">
        <v>29</v>
      </c>
      <c r="E173" s="26" t="s">
        <v>1128</v>
      </c>
      <c r="F173" s="33"/>
      <c r="G173" s="26" t="s">
        <v>1151</v>
      </c>
      <c r="H173" s="31">
        <v>20</v>
      </c>
      <c r="I173" s="89" t="s">
        <v>1152</v>
      </c>
      <c r="J173" s="11">
        <v>2</v>
      </c>
      <c r="K173" s="12" t="s">
        <v>367</v>
      </c>
      <c r="L173" s="33" t="s">
        <v>1153</v>
      </c>
      <c r="M173" s="26" t="s">
        <v>1154</v>
      </c>
      <c r="N173" s="26" t="s">
        <v>232</v>
      </c>
      <c r="O173" s="26" t="s">
        <v>589</v>
      </c>
      <c r="P173" s="26" t="s">
        <v>83</v>
      </c>
      <c r="Q173" s="26" t="s">
        <v>267</v>
      </c>
      <c r="R173" s="26" t="s">
        <v>1155</v>
      </c>
      <c r="S173" s="26" t="s">
        <v>75</v>
      </c>
      <c r="T173" s="26"/>
    </row>
    <row r="174" spans="1:21" s="14" customFormat="1" x14ac:dyDescent="0.25">
      <c r="A174" s="40" t="s">
        <v>1156</v>
      </c>
      <c r="B174" s="116" t="s">
        <v>1157</v>
      </c>
      <c r="C174" s="117"/>
      <c r="D174" s="26" t="s">
        <v>29</v>
      </c>
      <c r="E174" s="26" t="s">
        <v>1128</v>
      </c>
      <c r="F174" s="33"/>
      <c r="G174" s="26" t="s">
        <v>1158</v>
      </c>
      <c r="H174" s="31">
        <v>30</v>
      </c>
      <c r="I174" s="32" t="s">
        <v>1159</v>
      </c>
      <c r="J174" s="11">
        <v>1</v>
      </c>
      <c r="K174" s="12" t="s">
        <v>1160</v>
      </c>
      <c r="L174" s="8" t="s">
        <v>711</v>
      </c>
      <c r="M174" s="6" t="s">
        <v>1161</v>
      </c>
      <c r="N174" s="6"/>
      <c r="O174" s="6"/>
      <c r="P174" s="6"/>
      <c r="Q174" s="6"/>
      <c r="R174" s="6"/>
      <c r="S174" s="6"/>
      <c r="T174" s="6"/>
      <c r="U174" s="4" t="s">
        <v>1162</v>
      </c>
    </row>
    <row r="175" spans="1:20" x14ac:dyDescent="0.25">
      <c r="A175" t="s">
        <v>1163</v>
      </c>
      <c r="B175" s="116" t="s">
        <v>1157</v>
      </c>
      <c r="C175" s="117"/>
      <c r="D175" s="26" t="s">
        <v>29</v>
      </c>
      <c r="E175" s="26" t="s">
        <v>1128</v>
      </c>
      <c r="F175" s="33"/>
      <c r="G175" s="26" t="s">
        <v>1158</v>
      </c>
      <c r="H175" s="31">
        <v>10</v>
      </c>
      <c r="I175" s="32" t="s">
        <v>1164</v>
      </c>
      <c r="J175" s="11">
        <v>2</v>
      </c>
      <c r="K175" s="12" t="s">
        <v>1165</v>
      </c>
      <c r="L175" s="8" t="s">
        <v>1166</v>
      </c>
      <c r="M175" s="6" t="s">
        <v>1166</v>
      </c>
      <c r="N175" s="6" t="s">
        <v>107</v>
      </c>
      <c r="O175" s="6" t="s">
        <v>1167</v>
      </c>
      <c r="P175" s="6" t="s">
        <v>219</v>
      </c>
      <c r="Q175" s="6"/>
      <c r="R175" s="6"/>
      <c r="S175" s="6"/>
      <c r="T175" s="6"/>
    </row>
    <row r="176" spans="1:20" x14ac:dyDescent="0.25">
      <c r="A176" s="16"/>
      <c r="B176" s="118" t="s">
        <v>1168</v>
      </c>
      <c r="C176" s="119"/>
      <c r="D176" s="17" t="s">
        <v>29</v>
      </c>
      <c r="E176" s="17" t="s">
        <v>1128</v>
      </c>
      <c r="F176" s="25"/>
      <c r="G176" s="17" t="s">
        <v>1169</v>
      </c>
      <c r="H176" s="22">
        <v>50</v>
      </c>
      <c r="I176" s="23" t="s">
        <v>1170</v>
      </c>
      <c r="J176" s="15">
        <v>0</v>
      </c>
      <c r="K176" s="24" t="s">
        <v>1171</v>
      </c>
      <c r="L176" s="25" t="s">
        <v>1172</v>
      </c>
      <c r="M176" s="17" t="s">
        <v>582</v>
      </c>
      <c r="N176" s="17" t="s">
        <v>651</v>
      </c>
      <c r="O176" s="17"/>
      <c r="P176" s="17"/>
      <c r="Q176" s="17"/>
      <c r="R176" s="17"/>
      <c r="S176" s="17"/>
      <c r="T176" s="17"/>
    </row>
    <row r="177" spans="1:20" x14ac:dyDescent="0.25">
      <c r="A177" t="s">
        <v>1173</v>
      </c>
      <c r="B177" s="120" t="s">
        <v>1174</v>
      </c>
      <c r="C177" s="121"/>
      <c r="D177" s="26" t="s">
        <v>29</v>
      </c>
      <c r="E177" s="26" t="s">
        <v>1128</v>
      </c>
      <c r="F177" s="33"/>
      <c r="G177" s="26" t="s">
        <v>1175</v>
      </c>
      <c r="H177" s="31">
        <v>30</v>
      </c>
      <c r="I177" s="32" t="s">
        <v>1176</v>
      </c>
      <c r="J177" s="11">
        <v>1</v>
      </c>
      <c r="K177" s="12" t="s">
        <v>1177</v>
      </c>
      <c r="L177" s="8" t="s">
        <v>1178</v>
      </c>
      <c r="M177" s="6" t="s">
        <v>900</v>
      </c>
      <c r="N177" s="6"/>
      <c r="O177" s="6"/>
      <c r="P177" s="6"/>
      <c r="Q177" s="6"/>
      <c r="R177" s="6"/>
      <c r="S177" s="6"/>
      <c r="T177" s="6"/>
    </row>
    <row r="178" spans="1:20" x14ac:dyDescent="0.25">
      <c r="A178" s="4" t="s">
        <v>1179</v>
      </c>
      <c r="B178" s="122" t="s">
        <v>1180</v>
      </c>
      <c r="C178" s="123">
        <v>6.15</v>
      </c>
      <c r="D178" s="26" t="s">
        <v>29</v>
      </c>
      <c r="E178" s="26" t="s">
        <v>1181</v>
      </c>
      <c r="F178" s="33"/>
      <c r="G178" s="26" t="s">
        <v>1182</v>
      </c>
      <c r="H178" s="56">
        <v>4</v>
      </c>
      <c r="I178" s="32"/>
      <c r="J178" s="11">
        <v>10</v>
      </c>
      <c r="K178" s="12" t="s">
        <v>1183</v>
      </c>
      <c r="L178" s="33" t="s">
        <v>473</v>
      </c>
      <c r="M178" s="26" t="s">
        <v>64</v>
      </c>
      <c r="N178" s="26" t="s">
        <v>1184</v>
      </c>
      <c r="O178" s="26"/>
      <c r="P178" s="26" t="s">
        <v>109</v>
      </c>
      <c r="Q178" s="26" t="s">
        <v>1185</v>
      </c>
      <c r="R178" s="26" t="s">
        <v>1186</v>
      </c>
      <c r="S178" s="26" t="s">
        <v>737</v>
      </c>
      <c r="T178" s="26" t="s">
        <v>737</v>
      </c>
    </row>
    <row r="179" spans="1:20" s="14" customFormat="1" x14ac:dyDescent="0.25">
      <c r="A179" s="4" t="s">
        <v>1187</v>
      </c>
      <c r="B179" s="122" t="s">
        <v>1188</v>
      </c>
      <c r="C179" s="123"/>
      <c r="D179" s="26" t="s">
        <v>29</v>
      </c>
      <c r="E179" s="26" t="s">
        <v>1181</v>
      </c>
      <c r="F179" s="33"/>
      <c r="G179" s="26" t="s">
        <v>1189</v>
      </c>
      <c r="H179" s="56">
        <v>20</v>
      </c>
      <c r="I179" s="32"/>
      <c r="J179" s="11">
        <v>3</v>
      </c>
      <c r="K179" s="12" t="s">
        <v>1190</v>
      </c>
      <c r="L179" s="33" t="s">
        <v>259</v>
      </c>
      <c r="M179" s="26" t="s">
        <v>1191</v>
      </c>
      <c r="N179" s="28" t="s">
        <v>616</v>
      </c>
      <c r="O179" s="26" t="s">
        <v>455</v>
      </c>
      <c r="P179" s="26" t="s">
        <v>193</v>
      </c>
      <c r="Q179" s="26"/>
      <c r="R179" s="26" t="s">
        <v>1192</v>
      </c>
      <c r="S179" s="26" t="s">
        <v>534</v>
      </c>
      <c r="T179" s="26" t="s">
        <v>259</v>
      </c>
    </row>
    <row r="180" spans="1:20" x14ac:dyDescent="0.25">
      <c r="A180" t="s">
        <v>1193</v>
      </c>
      <c r="B180" s="122" t="s">
        <v>1194</v>
      </c>
      <c r="C180" s="123">
        <v>6.6</v>
      </c>
      <c r="D180" s="26" t="s">
        <v>29</v>
      </c>
      <c r="E180" s="26" t="s">
        <v>1181</v>
      </c>
      <c r="F180" s="33"/>
      <c r="G180" s="26" t="s">
        <v>1195</v>
      </c>
      <c r="H180" s="56">
        <v>20</v>
      </c>
      <c r="I180" s="10"/>
      <c r="J180" s="15">
        <v>2</v>
      </c>
      <c r="K180" s="12" t="s">
        <v>1196</v>
      </c>
      <c r="L180" s="33"/>
      <c r="M180" s="26" t="s">
        <v>24</v>
      </c>
      <c r="N180" s="26" t="s">
        <v>1197</v>
      </c>
      <c r="O180" s="26" t="s">
        <v>1198</v>
      </c>
      <c r="P180" s="26" t="s">
        <v>1147</v>
      </c>
      <c r="Q180" s="26" t="s">
        <v>804</v>
      </c>
      <c r="R180" s="28" t="s">
        <v>1199</v>
      </c>
      <c r="S180" s="26" t="s">
        <v>1200</v>
      </c>
      <c r="T180" s="26" t="s">
        <v>673</v>
      </c>
    </row>
    <row r="181" spans="1:20" x14ac:dyDescent="0.25">
      <c r="A181" s="4" t="s">
        <v>1201</v>
      </c>
      <c r="B181" s="122" t="s">
        <v>1202</v>
      </c>
      <c r="C181" s="123">
        <v>7.5</v>
      </c>
      <c r="D181" s="26" t="s">
        <v>29</v>
      </c>
      <c r="E181" s="26" t="s">
        <v>1181</v>
      </c>
      <c r="F181" s="33"/>
      <c r="G181" s="26" t="s">
        <v>1203</v>
      </c>
      <c r="H181" s="56">
        <v>20</v>
      </c>
      <c r="I181" s="32"/>
      <c r="J181" s="15">
        <v>0</v>
      </c>
      <c r="K181" s="12" t="s">
        <v>1204</v>
      </c>
      <c r="L181" s="33" t="s">
        <v>1205</v>
      </c>
      <c r="M181" s="26" t="s">
        <v>895</v>
      </c>
      <c r="N181" s="26" t="s">
        <v>465</v>
      </c>
      <c r="O181" s="26" t="s">
        <v>502</v>
      </c>
      <c r="P181" s="26" t="s">
        <v>84</v>
      </c>
      <c r="Q181" s="26" t="s">
        <v>371</v>
      </c>
      <c r="R181" s="26" t="s">
        <v>134</v>
      </c>
      <c r="S181" s="26" t="s">
        <v>1206</v>
      </c>
      <c r="T181" s="26" t="s">
        <v>1207</v>
      </c>
    </row>
    <row r="182" spans="1:20" x14ac:dyDescent="0.25">
      <c r="A182" s="4" t="s">
        <v>1208</v>
      </c>
      <c r="B182" s="122" t="s">
        <v>1209</v>
      </c>
      <c r="C182" s="123"/>
      <c r="D182" s="26" t="s">
        <v>29</v>
      </c>
      <c r="E182" s="26" t="s">
        <v>1181</v>
      </c>
      <c r="F182" s="33"/>
      <c r="G182" s="26" t="s">
        <v>1210</v>
      </c>
      <c r="H182" s="56">
        <v>20</v>
      </c>
      <c r="I182" s="32"/>
      <c r="J182" s="11">
        <v>4</v>
      </c>
      <c r="K182" s="12" t="s">
        <v>1211</v>
      </c>
      <c r="L182" s="33" t="s">
        <v>693</v>
      </c>
      <c r="M182" s="26" t="s">
        <v>1212</v>
      </c>
      <c r="N182" s="26" t="s">
        <v>913</v>
      </c>
      <c r="O182" s="26"/>
      <c r="P182" s="26"/>
      <c r="Q182" s="26"/>
      <c r="R182" s="26"/>
      <c r="S182" s="26"/>
      <c r="T182" s="26"/>
    </row>
    <row r="183" spans="1:20" x14ac:dyDescent="0.25">
      <c r="A183" s="40" t="s">
        <v>1213</v>
      </c>
      <c r="B183" s="122" t="s">
        <v>1214</v>
      </c>
      <c r="C183" s="123"/>
      <c r="D183" s="26" t="s">
        <v>29</v>
      </c>
      <c r="E183" s="26" t="s">
        <v>1181</v>
      </c>
      <c r="F183" s="33"/>
      <c r="G183" s="26" t="s">
        <v>1215</v>
      </c>
      <c r="H183" s="56">
        <v>20</v>
      </c>
      <c r="I183" s="32"/>
      <c r="J183" s="11">
        <v>13</v>
      </c>
      <c r="K183" s="12" t="s">
        <v>1216</v>
      </c>
      <c r="L183" s="33" t="s">
        <v>507</v>
      </c>
      <c r="M183" s="26" t="s">
        <v>507</v>
      </c>
      <c r="N183" s="26"/>
      <c r="O183" s="26"/>
      <c r="P183" s="26"/>
      <c r="Q183" s="26"/>
      <c r="R183" s="26"/>
      <c r="S183" s="26"/>
      <c r="T183" s="26"/>
    </row>
    <row r="184" spans="1:20" s="14" customFormat="1" x14ac:dyDescent="0.25">
      <c r="A184" s="4" t="s">
        <v>1217</v>
      </c>
      <c r="B184" s="76" t="s">
        <v>1218</v>
      </c>
      <c r="C184" s="77">
        <v>5.5</v>
      </c>
      <c r="D184" s="28" t="s">
        <v>5</v>
      </c>
      <c r="E184" s="26" t="s">
        <v>1128</v>
      </c>
      <c r="F184" s="33"/>
      <c r="G184" s="76" t="s">
        <v>1219</v>
      </c>
      <c r="H184" s="78">
        <v>10</v>
      </c>
      <c r="I184" s="38"/>
      <c r="J184" s="37">
        <v>4</v>
      </c>
      <c r="K184" s="79" t="s">
        <v>1220</v>
      </c>
      <c r="L184" s="30" t="s">
        <v>627</v>
      </c>
      <c r="M184" s="76" t="s">
        <v>1221</v>
      </c>
      <c r="N184" s="76" t="s">
        <v>215</v>
      </c>
      <c r="O184" s="76" t="s">
        <v>650</v>
      </c>
      <c r="P184" s="76" t="s">
        <v>1222</v>
      </c>
      <c r="Q184" s="76" t="s">
        <v>1223</v>
      </c>
      <c r="R184" s="76" t="s">
        <v>1224</v>
      </c>
      <c r="S184" s="76"/>
      <c r="T184" s="76"/>
    </row>
    <row r="185" spans="1:20" s="14" customFormat="1" x14ac:dyDescent="0.25">
      <c r="A185" s="4" t="s">
        <v>1225</v>
      </c>
      <c r="B185" s="76" t="s">
        <v>1226</v>
      </c>
      <c r="C185" s="77">
        <v>9.3</v>
      </c>
      <c r="D185" s="28" t="s">
        <v>5</v>
      </c>
      <c r="E185" s="26" t="s">
        <v>1128</v>
      </c>
      <c r="F185" s="33"/>
      <c r="G185" s="76" t="s">
        <v>1227</v>
      </c>
      <c r="H185" s="78">
        <v>10</v>
      </c>
      <c r="I185" s="38"/>
      <c r="J185" s="37">
        <v>5</v>
      </c>
      <c r="K185" s="79" t="s">
        <v>1220</v>
      </c>
      <c r="L185" s="30"/>
      <c r="M185" s="76"/>
      <c r="N185" s="76"/>
      <c r="O185" s="76"/>
      <c r="P185" s="76"/>
      <c r="Q185" s="76"/>
      <c r="R185" s="76"/>
      <c r="S185" s="76"/>
      <c r="T185" s="76"/>
    </row>
    <row r="186" spans="2:20" x14ac:dyDescent="0.25">
      <c r="B186" s="42" t="s">
        <v>1228</v>
      </c>
      <c r="C186" s="43"/>
      <c r="D186" s="124" t="s">
        <v>29</v>
      </c>
      <c r="E186" s="42" t="s">
        <v>1128</v>
      </c>
      <c r="F186" s="44"/>
      <c r="G186" s="42" t="s">
        <v>1229</v>
      </c>
      <c r="H186" s="45">
        <v>10</v>
      </c>
      <c r="I186" s="46" t="s">
        <v>1230</v>
      </c>
      <c r="J186" s="47">
        <v>0</v>
      </c>
      <c r="K186" s="48" t="s">
        <v>1231</v>
      </c>
      <c r="L186" s="44" t="s">
        <v>680</v>
      </c>
      <c r="M186" s="42" t="s">
        <v>1232</v>
      </c>
      <c r="N186" s="42"/>
      <c r="O186" s="42"/>
      <c r="P186" s="42"/>
      <c r="Q186" s="42"/>
      <c r="R186" s="42"/>
      <c r="S186" s="42"/>
      <c r="T186" s="42"/>
    </row>
    <row r="187" spans="1:20" x14ac:dyDescent="0.25">
      <c r="A187" t="s">
        <v>1233</v>
      </c>
      <c r="B187" s="28" t="s">
        <v>1234</v>
      </c>
      <c r="C187" s="27"/>
      <c r="D187" s="26" t="s">
        <v>29</v>
      </c>
      <c r="E187" s="26" t="s">
        <v>1128</v>
      </c>
      <c r="F187" s="33"/>
      <c r="G187" s="26" t="s">
        <v>1235</v>
      </c>
      <c r="H187" s="31">
        <v>12</v>
      </c>
      <c r="I187" s="32"/>
      <c r="J187" s="11">
        <v>5</v>
      </c>
      <c r="K187" s="12" t="s">
        <v>1236</v>
      </c>
      <c r="L187" s="33"/>
      <c r="M187" s="26"/>
      <c r="N187" s="26"/>
      <c r="O187" s="26"/>
      <c r="P187" s="26"/>
      <c r="Q187" s="26"/>
      <c r="R187" s="26"/>
      <c r="S187" s="26"/>
      <c r="T187" s="26"/>
    </row>
    <row r="188" spans="1:20" x14ac:dyDescent="0.25">
      <c r="A188" t="s">
        <v>1237</v>
      </c>
      <c r="B188" s="13" t="s">
        <v>1238</v>
      </c>
      <c r="C188" s="7">
        <v>4.5</v>
      </c>
      <c r="D188" s="6" t="s">
        <v>29</v>
      </c>
      <c r="E188" s="6" t="s">
        <v>1128</v>
      </c>
      <c r="F188" s="8"/>
      <c r="G188" s="6" t="s">
        <v>1239</v>
      </c>
      <c r="H188" s="50">
        <v>14</v>
      </c>
      <c r="I188" s="10"/>
      <c r="J188" s="51">
        <v>5</v>
      </c>
      <c r="K188" s="52" t="s">
        <v>1220</v>
      </c>
      <c r="L188" s="8" t="s">
        <v>1240</v>
      </c>
      <c r="M188" s="6" t="s">
        <v>1241</v>
      </c>
      <c r="N188" s="6" t="s">
        <v>1242</v>
      </c>
      <c r="O188" s="6" t="s">
        <v>1243</v>
      </c>
      <c r="P188" s="6" t="s">
        <v>864</v>
      </c>
      <c r="Q188" s="6" t="s">
        <v>1244</v>
      </c>
      <c r="R188" s="6" t="s">
        <v>1245</v>
      </c>
      <c r="S188" s="6"/>
      <c r="T188" s="6"/>
    </row>
    <row r="189" spans="1:38" s="16" customFormat="1" x14ac:dyDescent="0.25">
      <c r="A189" t="s">
        <v>1246</v>
      </c>
      <c r="B189" s="28" t="s">
        <v>1247</v>
      </c>
      <c r="C189" s="27"/>
      <c r="D189" s="26" t="s">
        <v>29</v>
      </c>
      <c r="E189" s="26" t="s">
        <v>1128</v>
      </c>
      <c r="F189" s="33"/>
      <c r="G189" s="26" t="s">
        <v>1248</v>
      </c>
      <c r="H189" s="31">
        <v>12</v>
      </c>
      <c r="I189" s="32"/>
      <c r="J189" s="11">
        <v>3</v>
      </c>
      <c r="K189" s="12" t="s">
        <v>1249</v>
      </c>
      <c r="L189" s="33" t="s">
        <v>1250</v>
      </c>
      <c r="M189" s="26" t="s">
        <v>1251</v>
      </c>
      <c r="N189" s="26" t="s">
        <v>910</v>
      </c>
      <c r="O189" s="26" t="s">
        <v>1252</v>
      </c>
      <c r="P189" s="26" t="s">
        <v>1253</v>
      </c>
      <c r="Q189" s="26" t="s">
        <v>273</v>
      </c>
      <c r="R189" s="26" t="s">
        <v>10</v>
      </c>
      <c r="S189" s="26" t="s">
        <v>260</v>
      </c>
      <c r="T189" s="26" t="s">
        <v>675</v>
      </c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spans="1:20" x14ac:dyDescent="0.25">
      <c r="A190" t="s">
        <v>1254</v>
      </c>
      <c r="B190" s="49" t="s">
        <v>1255</v>
      </c>
      <c r="C190" s="103">
        <v>7</v>
      </c>
      <c r="D190" s="6" t="s">
        <v>5</v>
      </c>
      <c r="E190" s="6" t="s">
        <v>1128</v>
      </c>
      <c r="F190" s="8"/>
      <c r="G190" s="6" t="s">
        <v>1256</v>
      </c>
      <c r="H190" s="9">
        <v>6</v>
      </c>
      <c r="I190" s="10" t="s">
        <v>1257</v>
      </c>
      <c r="J190" s="51">
        <v>3</v>
      </c>
      <c r="K190" s="110" t="s">
        <v>1220</v>
      </c>
      <c r="L190" s="8"/>
      <c r="M190" s="6" t="s">
        <v>1258</v>
      </c>
      <c r="N190" s="6" t="s">
        <v>23</v>
      </c>
      <c r="O190" s="6" t="s">
        <v>1259</v>
      </c>
      <c r="P190" s="6" t="s">
        <v>1260</v>
      </c>
      <c r="Q190" s="6" t="s">
        <v>1261</v>
      </c>
      <c r="R190" s="6" t="s">
        <v>721</v>
      </c>
      <c r="S190" s="6" t="s">
        <v>423</v>
      </c>
      <c r="T190" s="6" t="s">
        <v>76</v>
      </c>
    </row>
    <row r="191" spans="1:38" s="40" customFormat="1" x14ac:dyDescent="0.25">
      <c r="A191" t="s">
        <v>1262</v>
      </c>
      <c r="B191" s="76" t="s">
        <v>1263</v>
      </c>
      <c r="C191" s="125">
        <v>7.3</v>
      </c>
      <c r="D191" s="28" t="s">
        <v>5</v>
      </c>
      <c r="E191" s="26" t="s">
        <v>1128</v>
      </c>
      <c r="F191" s="33"/>
      <c r="G191" s="76" t="s">
        <v>1264</v>
      </c>
      <c r="H191" s="78">
        <v>10</v>
      </c>
      <c r="I191" s="38"/>
      <c r="J191" s="37">
        <v>15</v>
      </c>
      <c r="K191" s="79" t="s">
        <v>1265</v>
      </c>
      <c r="L191" s="30"/>
      <c r="M191" s="76"/>
      <c r="N191" s="76"/>
      <c r="O191" s="76"/>
      <c r="P191" s="76"/>
      <c r="Q191" s="76"/>
      <c r="R191" s="76"/>
      <c r="S191" s="76"/>
      <c r="T191" s="76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spans="1:20" x14ac:dyDescent="0.25">
      <c r="A192" t="s">
        <v>1266</v>
      </c>
      <c r="B192" s="13" t="s">
        <v>1267</v>
      </c>
      <c r="C192" s="7">
        <v>6.2</v>
      </c>
      <c r="D192" s="28" t="s">
        <v>5</v>
      </c>
      <c r="E192" s="6" t="s">
        <v>1128</v>
      </c>
      <c r="F192" s="8"/>
      <c r="G192" s="6" t="s">
        <v>1268</v>
      </c>
      <c r="H192" s="50">
        <v>25</v>
      </c>
      <c r="I192" s="10"/>
      <c r="J192" s="51">
        <v>4</v>
      </c>
      <c r="K192" s="52" t="s">
        <v>1269</v>
      </c>
      <c r="L192" s="8" t="s">
        <v>642</v>
      </c>
      <c r="M192" s="6" t="s">
        <v>368</v>
      </c>
      <c r="N192" s="6" t="s">
        <v>1224</v>
      </c>
      <c r="O192" s="6" t="s">
        <v>169</v>
      </c>
      <c r="P192" s="6"/>
      <c r="Q192" s="6" t="s">
        <v>259</v>
      </c>
      <c r="R192" s="6" t="s">
        <v>200</v>
      </c>
      <c r="S192" s="6" t="s">
        <v>1270</v>
      </c>
      <c r="T192" s="6" t="s">
        <v>935</v>
      </c>
    </row>
    <row r="193" spans="1:20" s="14" customFormat="1" x14ac:dyDescent="0.25">
      <c r="A193" s="40"/>
      <c r="B193" s="85" t="s">
        <v>1271</v>
      </c>
      <c r="C193" s="86"/>
      <c r="D193" s="124" t="s">
        <v>29</v>
      </c>
      <c r="E193" s="42" t="s">
        <v>1128</v>
      </c>
      <c r="F193" s="44"/>
      <c r="G193" s="85" t="s">
        <v>1272</v>
      </c>
      <c r="H193" s="88">
        <v>12</v>
      </c>
      <c r="I193" s="89"/>
      <c r="J193" s="90">
        <v>0</v>
      </c>
      <c r="K193" s="98"/>
      <c r="L193" s="87" t="s">
        <v>1273</v>
      </c>
      <c r="M193" s="85"/>
      <c r="N193" s="85"/>
      <c r="O193" s="85"/>
      <c r="P193" s="85"/>
      <c r="Q193" s="85"/>
      <c r="R193" s="85"/>
      <c r="S193" s="85"/>
      <c r="T193" s="85"/>
    </row>
    <row r="194" spans="2:20" s="14" customFormat="1" x14ac:dyDescent="0.25">
      <c r="B194" s="126" t="s">
        <v>1274</v>
      </c>
      <c r="C194" s="127"/>
      <c r="D194" s="124" t="s">
        <v>1275</v>
      </c>
      <c r="E194" s="42" t="s">
        <v>1128</v>
      </c>
      <c r="F194" s="44"/>
      <c r="G194" s="42" t="s">
        <v>1276</v>
      </c>
      <c r="H194" s="45">
        <v>10</v>
      </c>
      <c r="I194" s="46"/>
      <c r="J194" s="47">
        <v>0</v>
      </c>
      <c r="K194" s="48" t="s">
        <v>1277</v>
      </c>
      <c r="L194" s="44"/>
      <c r="M194" s="42"/>
      <c r="N194" s="42"/>
      <c r="O194" s="42"/>
      <c r="P194" s="42"/>
      <c r="Q194" s="42"/>
      <c r="R194" s="42"/>
      <c r="S194" s="42"/>
      <c r="T194" s="42"/>
    </row>
    <row r="195" spans="2:20" x14ac:dyDescent="0.25">
      <c r="B195" s="126" t="s">
        <v>1278</v>
      </c>
      <c r="C195" s="127"/>
      <c r="D195" s="124" t="s">
        <v>1275</v>
      </c>
      <c r="E195" s="42" t="s">
        <v>1128</v>
      </c>
      <c r="F195" s="44"/>
      <c r="G195" s="42" t="s">
        <v>1279</v>
      </c>
      <c r="H195" s="45">
        <v>25</v>
      </c>
      <c r="I195" s="46"/>
      <c r="J195" s="47">
        <v>0</v>
      </c>
      <c r="K195" s="48" t="s">
        <v>1280</v>
      </c>
      <c r="L195" s="44"/>
      <c r="M195" s="42"/>
      <c r="N195" s="42"/>
      <c r="O195" s="42"/>
      <c r="P195" s="42"/>
      <c r="Q195" s="42"/>
      <c r="R195" s="42"/>
      <c r="S195" s="42"/>
      <c r="T195" s="42"/>
    </row>
    <row r="196" spans="1:20" x14ac:dyDescent="0.25">
      <c r="A196" t="s">
        <v>1281</v>
      </c>
      <c r="B196" s="26" t="s">
        <v>1282</v>
      </c>
      <c r="C196" s="27"/>
      <c r="D196" s="26" t="s">
        <v>5</v>
      </c>
      <c r="E196" s="26" t="s">
        <v>1128</v>
      </c>
      <c r="F196" s="33"/>
      <c r="G196" s="26" t="s">
        <v>1283</v>
      </c>
      <c r="H196" s="31">
        <v>20</v>
      </c>
      <c r="I196" s="32"/>
      <c r="J196" s="11">
        <v>3</v>
      </c>
      <c r="K196" s="12" t="s">
        <v>569</v>
      </c>
      <c r="L196" s="128" t="s">
        <v>1284</v>
      </c>
      <c r="M196" s="26" t="s">
        <v>1242</v>
      </c>
      <c r="N196" s="26" t="s">
        <v>534</v>
      </c>
      <c r="O196" s="28" t="s">
        <v>1285</v>
      </c>
      <c r="P196" s="26" t="s">
        <v>491</v>
      </c>
      <c r="Q196" s="26"/>
      <c r="R196" s="26"/>
      <c r="S196" s="26"/>
      <c r="T196" s="26"/>
    </row>
    <row r="197" spans="2:20" x14ac:dyDescent="0.25">
      <c r="B197" s="49" t="s">
        <v>1286</v>
      </c>
      <c r="C197" s="103"/>
      <c r="D197" s="26" t="s">
        <v>1287</v>
      </c>
      <c r="E197" s="26" t="s">
        <v>1128</v>
      </c>
      <c r="F197" s="33"/>
      <c r="G197" s="26" t="s">
        <v>1288</v>
      </c>
      <c r="H197" s="56">
        <v>10</v>
      </c>
      <c r="I197" s="23"/>
      <c r="J197" s="15">
        <v>0</v>
      </c>
      <c r="K197" s="34"/>
      <c r="L197" s="33" t="s">
        <v>647</v>
      </c>
      <c r="M197" s="26" t="s">
        <v>1166</v>
      </c>
      <c r="N197" s="26" t="s">
        <v>1289</v>
      </c>
      <c r="O197" s="26" t="s">
        <v>293</v>
      </c>
      <c r="P197" s="26"/>
      <c r="Q197" s="26"/>
      <c r="R197" s="26"/>
      <c r="S197" s="26"/>
      <c r="T197" s="26"/>
    </row>
    <row r="198" spans="1:38" s="40" customFormat="1" x14ac:dyDescent="0.25">
      <c r="A198" s="40" t="s">
        <v>1290</v>
      </c>
      <c r="B198" s="126" t="s">
        <v>1291</v>
      </c>
      <c r="C198" s="127">
        <v>0.95</v>
      </c>
      <c r="D198" s="124" t="s">
        <v>29</v>
      </c>
      <c r="E198" s="42" t="s">
        <v>1128</v>
      </c>
      <c r="F198" s="44"/>
      <c r="G198" s="42" t="s">
        <v>1292</v>
      </c>
      <c r="H198" s="45">
        <v>10</v>
      </c>
      <c r="I198" s="46" t="s">
        <v>1293</v>
      </c>
      <c r="J198" s="47">
        <v>0</v>
      </c>
      <c r="K198" s="48" t="s">
        <v>1294</v>
      </c>
      <c r="L198" s="44" t="s">
        <v>441</v>
      </c>
      <c r="M198" s="42" t="s">
        <v>267</v>
      </c>
      <c r="N198" s="42" t="s">
        <v>1295</v>
      </c>
      <c r="O198" s="42" t="s">
        <v>169</v>
      </c>
      <c r="P198" s="42" t="s">
        <v>1296</v>
      </c>
      <c r="Q198" s="42" t="s">
        <v>388</v>
      </c>
      <c r="R198" s="42" t="s">
        <v>1003</v>
      </c>
      <c r="S198" s="42" t="s">
        <v>1297</v>
      </c>
      <c r="T198" s="42" t="s">
        <v>1298</v>
      </c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spans="2:20" x14ac:dyDescent="0.25">
      <c r="B199" s="129" t="s">
        <v>1299</v>
      </c>
      <c r="C199" s="130">
        <v>0.95</v>
      </c>
      <c r="D199" s="28" t="s">
        <v>29</v>
      </c>
      <c r="E199" s="26" t="s">
        <v>1128</v>
      </c>
      <c r="F199" s="33"/>
      <c r="G199" s="26" t="s">
        <v>1300</v>
      </c>
      <c r="H199" s="31">
        <v>20</v>
      </c>
      <c r="I199" s="32" t="s">
        <v>1301</v>
      </c>
      <c r="J199" s="11">
        <v>5</v>
      </c>
      <c r="K199" s="131" t="s">
        <v>1302</v>
      </c>
      <c r="L199" s="128" t="s">
        <v>1303</v>
      </c>
      <c r="M199" s="26" t="s">
        <v>1304</v>
      </c>
      <c r="N199" s="26" t="s">
        <v>463</v>
      </c>
      <c r="O199" s="26" t="s">
        <v>1305</v>
      </c>
      <c r="P199" s="26"/>
      <c r="Q199" s="26" t="s">
        <v>1306</v>
      </c>
      <c r="R199" s="26" t="s">
        <v>275</v>
      </c>
      <c r="S199" s="26" t="s">
        <v>738</v>
      </c>
      <c r="T199" s="26" t="s">
        <v>1307</v>
      </c>
    </row>
    <row r="200" spans="1:20" x14ac:dyDescent="0.25">
      <c r="A200" t="s">
        <v>1308</v>
      </c>
      <c r="B200" s="26" t="s">
        <v>1309</v>
      </c>
      <c r="C200" s="35">
        <v>0.95</v>
      </c>
      <c r="D200" s="28" t="s">
        <v>29</v>
      </c>
      <c r="E200" s="26" t="s">
        <v>1128</v>
      </c>
      <c r="F200" s="33"/>
      <c r="G200" s="26" t="s">
        <v>1310</v>
      </c>
      <c r="H200" s="31">
        <v>50</v>
      </c>
      <c r="I200" s="32" t="s">
        <v>1311</v>
      </c>
      <c r="J200" s="11">
        <v>12</v>
      </c>
      <c r="K200" s="12">
        <v>10</v>
      </c>
      <c r="L200" s="128" t="s">
        <v>1312</v>
      </c>
      <c r="M200" s="26" t="s">
        <v>1313</v>
      </c>
      <c r="N200" s="26" t="s">
        <v>1314</v>
      </c>
      <c r="O200" s="26" t="s">
        <v>36</v>
      </c>
      <c r="P200" s="26" t="s">
        <v>361</v>
      </c>
      <c r="Q200" s="26" t="s">
        <v>1033</v>
      </c>
      <c r="R200" s="26" t="s">
        <v>76</v>
      </c>
      <c r="S200" s="26"/>
      <c r="T200" s="26" t="s">
        <v>1315</v>
      </c>
    </row>
    <row r="201" spans="1:38" s="16" customFormat="1" x14ac:dyDescent="0.25">
      <c r="A201" t="s">
        <v>1316</v>
      </c>
      <c r="B201" s="129" t="s">
        <v>1317</v>
      </c>
      <c r="C201" s="130">
        <v>0.95</v>
      </c>
      <c r="D201" s="28" t="s">
        <v>29</v>
      </c>
      <c r="E201" s="26" t="s">
        <v>1128</v>
      </c>
      <c r="F201" s="33"/>
      <c r="G201" s="26" t="s">
        <v>1318</v>
      </c>
      <c r="H201" s="31">
        <v>20</v>
      </c>
      <c r="I201" s="32" t="s">
        <v>1301</v>
      </c>
      <c r="J201" s="11">
        <v>6</v>
      </c>
      <c r="K201" s="131" t="s">
        <v>1319</v>
      </c>
      <c r="L201" s="33"/>
      <c r="M201" s="26" t="s">
        <v>442</v>
      </c>
      <c r="N201" s="26" t="s">
        <v>49</v>
      </c>
      <c r="O201" s="26" t="s">
        <v>1320</v>
      </c>
      <c r="P201" s="26" t="s">
        <v>134</v>
      </c>
      <c r="Q201" s="26" t="s">
        <v>1304</v>
      </c>
      <c r="R201" s="26" t="s">
        <v>1321</v>
      </c>
      <c r="S201" s="26" t="s">
        <v>1322</v>
      </c>
      <c r="T201" s="26" t="s">
        <v>1323</v>
      </c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spans="1:38" s="40" customFormat="1" x14ac:dyDescent="0.25">
      <c r="A202" t="s">
        <v>1324</v>
      </c>
      <c r="B202" s="129" t="s">
        <v>1325</v>
      </c>
      <c r="C202" s="130">
        <v>0.95</v>
      </c>
      <c r="D202" s="28" t="s">
        <v>29</v>
      </c>
      <c r="E202" s="26" t="s">
        <v>1128</v>
      </c>
      <c r="F202" s="33"/>
      <c r="G202" s="26" t="s">
        <v>1326</v>
      </c>
      <c r="H202" s="31">
        <v>50</v>
      </c>
      <c r="I202" s="32" t="s">
        <v>1327</v>
      </c>
      <c r="J202" s="11">
        <v>5</v>
      </c>
      <c r="K202" s="131" t="s">
        <v>1328</v>
      </c>
      <c r="L202" s="33" t="s">
        <v>1329</v>
      </c>
      <c r="M202" s="26" t="s">
        <v>1330</v>
      </c>
      <c r="N202" s="26" t="s">
        <v>1312</v>
      </c>
      <c r="O202" s="26" t="s">
        <v>132</v>
      </c>
      <c r="P202" s="26" t="s">
        <v>1033</v>
      </c>
      <c r="Q202" s="26"/>
      <c r="R202" s="26" t="s">
        <v>1331</v>
      </c>
      <c r="S202" s="26" t="s">
        <v>738</v>
      </c>
      <c r="T202" s="26" t="s">
        <v>1332</v>
      </c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spans="1:20" x14ac:dyDescent="0.25">
      <c r="A203" t="s">
        <v>1333</v>
      </c>
      <c r="B203" s="104" t="s">
        <v>1334</v>
      </c>
      <c r="C203" s="132">
        <v>7.8</v>
      </c>
      <c r="D203" s="13" t="s">
        <v>5</v>
      </c>
      <c r="E203" s="6" t="s">
        <v>1128</v>
      </c>
      <c r="F203" s="8"/>
      <c r="G203" s="49" t="s">
        <v>1335</v>
      </c>
      <c r="H203" s="50">
        <v>12</v>
      </c>
      <c r="I203" s="10"/>
      <c r="J203" s="51">
        <v>5</v>
      </c>
      <c r="K203" s="52" t="s">
        <v>1220</v>
      </c>
      <c r="L203" s="8" t="s">
        <v>1336</v>
      </c>
      <c r="M203" s="6" t="s">
        <v>1337</v>
      </c>
      <c r="N203" s="6" t="s">
        <v>789</v>
      </c>
      <c r="O203" s="6" t="s">
        <v>234</v>
      </c>
      <c r="P203" s="6" t="s">
        <v>379</v>
      </c>
      <c r="Q203" s="6"/>
      <c r="R203" s="6"/>
      <c r="S203" s="6"/>
      <c r="T203" s="6"/>
    </row>
    <row r="204" spans="1:20" x14ac:dyDescent="0.25">
      <c r="A204" t="s">
        <v>1338</v>
      </c>
      <c r="B204" s="129" t="s">
        <v>1339</v>
      </c>
      <c r="C204" s="117"/>
      <c r="D204" s="28" t="s">
        <v>5</v>
      </c>
      <c r="E204" s="26" t="s">
        <v>1128</v>
      </c>
      <c r="F204" s="33"/>
      <c r="G204" s="76" t="s">
        <v>1340</v>
      </c>
      <c r="H204" s="31">
        <v>4</v>
      </c>
      <c r="I204" s="32"/>
      <c r="J204" s="11" t="s">
        <v>1341</v>
      </c>
      <c r="K204" s="12" t="s">
        <v>1342</v>
      </c>
      <c r="L204" s="33" t="s">
        <v>1343</v>
      </c>
      <c r="M204" s="26"/>
      <c r="N204" s="26"/>
      <c r="O204" s="26"/>
      <c r="P204" s="26"/>
      <c r="Q204" s="26"/>
      <c r="R204" s="26"/>
      <c r="S204" s="26"/>
      <c r="T204" s="26"/>
    </row>
    <row r="205" spans="1:20" s="16" customFormat="1" x14ac:dyDescent="0.25">
      <c r="A205" s="16" t="s">
        <v>1344</v>
      </c>
      <c r="B205" s="133" t="s">
        <v>1345</v>
      </c>
      <c r="C205" s="119"/>
      <c r="D205" s="19" t="s">
        <v>1287</v>
      </c>
      <c r="E205" s="17" t="s">
        <v>1128</v>
      </c>
      <c r="F205" s="25"/>
      <c r="G205" s="92" t="s">
        <v>1346</v>
      </c>
      <c r="H205" s="22">
        <v>12</v>
      </c>
      <c r="I205" s="23" t="s">
        <v>1347</v>
      </c>
      <c r="J205" s="15">
        <v>0</v>
      </c>
      <c r="K205" s="24" t="s">
        <v>1348</v>
      </c>
      <c r="L205" s="25" t="s">
        <v>1349</v>
      </c>
      <c r="M205" s="17" t="s">
        <v>777</v>
      </c>
      <c r="N205" s="17" t="s">
        <v>509</v>
      </c>
      <c r="O205" s="17" t="s">
        <v>1350</v>
      </c>
      <c r="P205" s="17" t="s">
        <v>463</v>
      </c>
      <c r="Q205" s="17"/>
      <c r="R205" s="17"/>
      <c r="S205" s="17"/>
      <c r="T205" s="17"/>
    </row>
    <row r="206" spans="1:20" x14ac:dyDescent="0.25">
      <c r="A206" t="s">
        <v>1351</v>
      </c>
      <c r="B206" s="104" t="s">
        <v>1352</v>
      </c>
      <c r="C206" s="132">
        <v>7</v>
      </c>
      <c r="D206" s="13" t="s">
        <v>5</v>
      </c>
      <c r="E206" s="6" t="s">
        <v>1128</v>
      </c>
      <c r="F206" s="8"/>
      <c r="G206" s="49" t="s">
        <v>1353</v>
      </c>
      <c r="H206" s="50">
        <v>12</v>
      </c>
      <c r="I206" s="10"/>
      <c r="J206" s="51">
        <v>5</v>
      </c>
      <c r="K206" s="52" t="s">
        <v>1220</v>
      </c>
      <c r="L206" s="8" t="s">
        <v>1354</v>
      </c>
      <c r="M206" s="6"/>
      <c r="N206" s="6" t="s">
        <v>191</v>
      </c>
      <c r="O206" s="6" t="s">
        <v>1355</v>
      </c>
      <c r="P206" s="6" t="s">
        <v>1356</v>
      </c>
      <c r="Q206" s="6" t="s">
        <v>1357</v>
      </c>
      <c r="R206" s="6" t="s">
        <v>1358</v>
      </c>
      <c r="S206" s="6" t="s">
        <v>802</v>
      </c>
      <c r="T206" s="6" t="s">
        <v>255</v>
      </c>
    </row>
    <row r="207" spans="1:38" s="16" customFormat="1" x14ac:dyDescent="0.25">
      <c r="A207" t="s">
        <v>1359</v>
      </c>
      <c r="B207" s="129" t="s">
        <v>1360</v>
      </c>
      <c r="C207" s="117"/>
      <c r="D207" s="28" t="s">
        <v>5</v>
      </c>
      <c r="E207" s="26" t="s">
        <v>1128</v>
      </c>
      <c r="F207" s="33"/>
      <c r="G207" s="76" t="s">
        <v>1361</v>
      </c>
      <c r="H207" s="31">
        <v>12</v>
      </c>
      <c r="I207" s="32"/>
      <c r="J207" s="11">
        <v>1</v>
      </c>
      <c r="K207" s="12" t="s">
        <v>569</v>
      </c>
      <c r="L207" s="33" t="s">
        <v>200</v>
      </c>
      <c r="M207" s="26" t="s">
        <v>191</v>
      </c>
      <c r="N207" s="26" t="s">
        <v>267</v>
      </c>
      <c r="O207" s="26" t="s">
        <v>212</v>
      </c>
      <c r="P207" s="26"/>
      <c r="Q207" s="26"/>
      <c r="R207" s="26"/>
      <c r="S207" s="26"/>
      <c r="T207" s="26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spans="1:20" x14ac:dyDescent="0.25">
      <c r="A208" t="s">
        <v>1362</v>
      </c>
      <c r="B208" s="129" t="s">
        <v>1363</v>
      </c>
      <c r="C208" s="117"/>
      <c r="D208" s="28" t="s">
        <v>5</v>
      </c>
      <c r="E208" s="26" t="s">
        <v>1128</v>
      </c>
      <c r="F208" s="33"/>
      <c r="G208" s="76" t="s">
        <v>1364</v>
      </c>
      <c r="H208" s="31">
        <v>12</v>
      </c>
      <c r="I208" s="23" t="s">
        <v>559</v>
      </c>
      <c r="J208" s="15">
        <v>1</v>
      </c>
      <c r="K208" s="12" t="s">
        <v>569</v>
      </c>
      <c r="L208" s="33" t="s">
        <v>1365</v>
      </c>
      <c r="M208" s="26" t="s">
        <v>1261</v>
      </c>
      <c r="N208" s="26" t="s">
        <v>667</v>
      </c>
      <c r="O208" s="26"/>
      <c r="P208" s="26"/>
      <c r="Q208" s="26"/>
      <c r="R208" s="26"/>
      <c r="S208" s="26"/>
      <c r="T208" s="26"/>
    </row>
    <row r="209" spans="1:20" x14ac:dyDescent="0.25">
      <c r="A209" t="s">
        <v>1366</v>
      </c>
      <c r="B209" s="6" t="s">
        <v>1367</v>
      </c>
      <c r="C209" s="7">
        <v>6</v>
      </c>
      <c r="D209" s="6" t="s">
        <v>5</v>
      </c>
      <c r="E209" s="6" t="s">
        <v>1128</v>
      </c>
      <c r="F209" s="8"/>
      <c r="G209" s="6" t="s">
        <v>1368</v>
      </c>
      <c r="H209" s="9">
        <v>9</v>
      </c>
      <c r="I209" s="10" t="s">
        <v>1369</v>
      </c>
      <c r="J209" s="51">
        <v>6</v>
      </c>
      <c r="K209" s="110" t="s">
        <v>1370</v>
      </c>
      <c r="L209" s="8" t="s">
        <v>170</v>
      </c>
      <c r="M209" s="6" t="s">
        <v>193</v>
      </c>
      <c r="N209" s="6" t="s">
        <v>258</v>
      </c>
      <c r="O209" s="6" t="s">
        <v>158</v>
      </c>
      <c r="P209" s="6" t="s">
        <v>76</v>
      </c>
      <c r="Q209" s="6"/>
      <c r="R209" s="6" t="s">
        <v>1354</v>
      </c>
      <c r="S209" s="6" t="s">
        <v>473</v>
      </c>
      <c r="T209" s="6" t="s">
        <v>512</v>
      </c>
    </row>
    <row r="210" spans="1:38" s="16" customFormat="1" x14ac:dyDescent="0.25">
      <c r="A210">
        <v>7623500367782</v>
      </c>
      <c r="B210" s="129" t="s">
        <v>1371</v>
      </c>
      <c r="C210" s="130">
        <v>3</v>
      </c>
      <c r="D210" s="28" t="s">
        <v>29</v>
      </c>
      <c r="E210" s="26" t="s">
        <v>1128</v>
      </c>
      <c r="F210" s="33"/>
      <c r="G210" s="26" t="s">
        <v>1372</v>
      </c>
      <c r="H210" s="31">
        <v>6</v>
      </c>
      <c r="I210" s="10" t="s">
        <v>1373</v>
      </c>
      <c r="J210" s="51">
        <v>3</v>
      </c>
      <c r="K210" s="131" t="s">
        <v>1374</v>
      </c>
      <c r="L210" s="128" t="s">
        <v>785</v>
      </c>
      <c r="M210" s="26" t="s">
        <v>1375</v>
      </c>
      <c r="N210" s="26" t="s">
        <v>721</v>
      </c>
      <c r="O210" s="26" t="s">
        <v>1376</v>
      </c>
      <c r="P210" s="26" t="s">
        <v>806</v>
      </c>
      <c r="Q210" s="26" t="s">
        <v>413</v>
      </c>
      <c r="R210" s="26" t="s">
        <v>193</v>
      </c>
      <c r="S210" s="26"/>
      <c r="T210" s="26" t="s">
        <v>1377</v>
      </c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spans="1:20" s="14" customFormat="1" x14ac:dyDescent="0.25">
      <c r="A211" s="4" t="s">
        <v>1378</v>
      </c>
      <c r="B211" s="129" t="s">
        <v>1379</v>
      </c>
      <c r="C211" s="117">
        <v>3</v>
      </c>
      <c r="D211" s="28" t="s">
        <v>29</v>
      </c>
      <c r="E211" s="26" t="s">
        <v>1128</v>
      </c>
      <c r="F211" s="33"/>
      <c r="G211" s="26" t="s">
        <v>1380</v>
      </c>
      <c r="H211" s="31">
        <v>6</v>
      </c>
      <c r="I211" s="32" t="s">
        <v>1373</v>
      </c>
      <c r="J211" s="51">
        <v>5</v>
      </c>
      <c r="K211" s="131" t="s">
        <v>168</v>
      </c>
      <c r="L211" s="128" t="s">
        <v>1381</v>
      </c>
      <c r="M211" s="111" t="s">
        <v>583</v>
      </c>
      <c r="N211" s="111" t="s">
        <v>465</v>
      </c>
      <c r="O211" s="111" t="s">
        <v>148</v>
      </c>
      <c r="P211" s="26"/>
      <c r="Q211" s="26" t="s">
        <v>219</v>
      </c>
      <c r="R211" s="26" t="s">
        <v>473</v>
      </c>
      <c r="S211" s="26" t="s">
        <v>673</v>
      </c>
      <c r="T211" s="26" t="s">
        <v>11</v>
      </c>
    </row>
    <row r="212" spans="1:38" s="40" customFormat="1" x14ac:dyDescent="0.25">
      <c r="A212" t="s">
        <v>1382</v>
      </c>
      <c r="B212" s="129" t="s">
        <v>1383</v>
      </c>
      <c r="C212" s="130">
        <v>3</v>
      </c>
      <c r="D212" s="28" t="s">
        <v>29</v>
      </c>
      <c r="E212" s="26" t="s">
        <v>1128</v>
      </c>
      <c r="F212" s="33"/>
      <c r="G212" s="26" t="s">
        <v>1384</v>
      </c>
      <c r="H212" s="31">
        <v>6</v>
      </c>
      <c r="I212" s="32" t="s">
        <v>1373</v>
      </c>
      <c r="J212" s="11">
        <v>3</v>
      </c>
      <c r="K212" s="131" t="s">
        <v>1374</v>
      </c>
      <c r="L212" s="128" t="s">
        <v>192</v>
      </c>
      <c r="M212" s="111" t="s">
        <v>1376</v>
      </c>
      <c r="N212" s="111" t="s">
        <v>379</v>
      </c>
      <c r="O212" s="111" t="s">
        <v>1385</v>
      </c>
      <c r="P212" s="26" t="s">
        <v>1386</v>
      </c>
      <c r="Q212" s="26"/>
      <c r="R212" s="26" t="s">
        <v>1357</v>
      </c>
      <c r="S212" s="26" t="s">
        <v>323</v>
      </c>
      <c r="T212" s="26" t="s">
        <v>1387</v>
      </c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spans="1:20" s="14" customFormat="1" x14ac:dyDescent="0.25">
      <c r="A213" t="s">
        <v>1388</v>
      </c>
      <c r="B213" s="129" t="s">
        <v>1389</v>
      </c>
      <c r="C213" s="130">
        <v>3</v>
      </c>
      <c r="D213" s="28" t="s">
        <v>29</v>
      </c>
      <c r="E213" s="26" t="s">
        <v>1128</v>
      </c>
      <c r="F213" s="33"/>
      <c r="G213" s="26" t="s">
        <v>1390</v>
      </c>
      <c r="H213" s="31">
        <v>6</v>
      </c>
      <c r="I213" s="32" t="s">
        <v>1373</v>
      </c>
      <c r="J213" s="11">
        <v>3</v>
      </c>
      <c r="K213" s="131" t="s">
        <v>1374</v>
      </c>
      <c r="L213" s="128" t="s">
        <v>1376</v>
      </c>
      <c r="M213" s="26" t="s">
        <v>1391</v>
      </c>
      <c r="N213" s="26" t="s">
        <v>207</v>
      </c>
      <c r="O213" s="26" t="s">
        <v>547</v>
      </c>
      <c r="P213" s="26" t="s">
        <v>200</v>
      </c>
      <c r="Q213" s="26" t="s">
        <v>1392</v>
      </c>
      <c r="R213" s="26" t="s">
        <v>1261</v>
      </c>
      <c r="S213" s="26" t="s">
        <v>274</v>
      </c>
      <c r="T213" s="26" t="s">
        <v>789</v>
      </c>
    </row>
    <row r="214" spans="1:20" s="14" customFormat="1" x14ac:dyDescent="0.25">
      <c r="A214" s="4" t="s">
        <v>1393</v>
      </c>
      <c r="B214" s="26" t="s">
        <v>1394</v>
      </c>
      <c r="C214" s="27">
        <v>6.5</v>
      </c>
      <c r="D214" s="26" t="s">
        <v>5</v>
      </c>
      <c r="E214" s="26" t="s">
        <v>1128</v>
      </c>
      <c r="F214" s="33"/>
      <c r="G214" s="26" t="s">
        <v>1395</v>
      </c>
      <c r="H214" s="56">
        <v>5</v>
      </c>
      <c r="I214" s="32" t="s">
        <v>1257</v>
      </c>
      <c r="J214" s="11">
        <v>2</v>
      </c>
      <c r="K214" s="34" t="s">
        <v>889</v>
      </c>
      <c r="L214" s="33" t="s">
        <v>659</v>
      </c>
      <c r="M214" s="26" t="s">
        <v>512</v>
      </c>
      <c r="N214" s="26" t="s">
        <v>1396</v>
      </c>
      <c r="O214" s="26" t="s">
        <v>292</v>
      </c>
      <c r="P214" s="26" t="s">
        <v>1397</v>
      </c>
      <c r="Q214" s="26"/>
      <c r="R214" s="26" t="s">
        <v>131</v>
      </c>
      <c r="S214" s="26" t="s">
        <v>423</v>
      </c>
      <c r="T214" s="26" t="s">
        <v>642</v>
      </c>
    </row>
    <row r="215" spans="1:20" s="14" customFormat="1" x14ac:dyDescent="0.25">
      <c r="A215" t="s">
        <v>1398</v>
      </c>
      <c r="B215" s="26" t="s">
        <v>1399</v>
      </c>
      <c r="C215" s="27"/>
      <c r="D215" s="26" t="s">
        <v>5</v>
      </c>
      <c r="E215" s="26" t="s">
        <v>1128</v>
      </c>
      <c r="F215" s="33"/>
      <c r="G215" s="26" t="s">
        <v>1400</v>
      </c>
      <c r="H215" s="31">
        <v>10</v>
      </c>
      <c r="I215" s="32"/>
      <c r="J215" s="11">
        <v>2</v>
      </c>
      <c r="K215" s="12" t="s">
        <v>1401</v>
      </c>
      <c r="L215" s="128" t="s">
        <v>1402</v>
      </c>
      <c r="M215" s="26" t="s">
        <v>1403</v>
      </c>
      <c r="N215" s="26" t="s">
        <v>1404</v>
      </c>
      <c r="O215" s="26"/>
      <c r="P215" s="26"/>
      <c r="Q215" s="26"/>
      <c r="R215" s="26"/>
      <c r="S215" s="26"/>
      <c r="T215" s="26"/>
    </row>
    <row r="216" spans="1:20" x14ac:dyDescent="0.25">
      <c r="A216" s="4" t="s">
        <v>1405</v>
      </c>
      <c r="B216" s="26" t="s">
        <v>1406</v>
      </c>
      <c r="C216" s="27">
        <v>6</v>
      </c>
      <c r="D216" s="26" t="s">
        <v>5</v>
      </c>
      <c r="E216" s="26" t="s">
        <v>1128</v>
      </c>
      <c r="F216" s="33"/>
      <c r="G216" s="26" t="s">
        <v>1407</v>
      </c>
      <c r="H216" s="56">
        <v>25</v>
      </c>
      <c r="I216" s="32"/>
      <c r="J216" s="11">
        <v>6</v>
      </c>
      <c r="K216" s="12" t="s">
        <v>1220</v>
      </c>
      <c r="L216" s="33" t="s">
        <v>131</v>
      </c>
      <c r="M216" s="26" t="s">
        <v>1391</v>
      </c>
      <c r="N216" s="26" t="s">
        <v>64</v>
      </c>
      <c r="O216" s="26" t="s">
        <v>1321</v>
      </c>
      <c r="P216" s="26" t="s">
        <v>735</v>
      </c>
      <c r="Q216" s="26"/>
      <c r="R216" s="26" t="s">
        <v>1408</v>
      </c>
      <c r="S216" s="26" t="s">
        <v>499</v>
      </c>
      <c r="T216" s="26" t="s">
        <v>1409</v>
      </c>
    </row>
    <row r="217" spans="1:38" s="40" customFormat="1" x14ac:dyDescent="0.25">
      <c r="A217" t="s">
        <v>1410</v>
      </c>
      <c r="B217" s="28" t="s">
        <v>1411</v>
      </c>
      <c r="C217" s="27"/>
      <c r="D217" s="26" t="s">
        <v>29</v>
      </c>
      <c r="E217" s="26" t="s">
        <v>1128</v>
      </c>
      <c r="F217" s="33"/>
      <c r="G217" s="26" t="s">
        <v>1412</v>
      </c>
      <c r="H217" s="31">
        <v>20</v>
      </c>
      <c r="I217" s="32" t="s">
        <v>559</v>
      </c>
      <c r="J217" s="11">
        <v>3</v>
      </c>
      <c r="K217" s="12" t="s">
        <v>1413</v>
      </c>
      <c r="L217" s="33" t="s">
        <v>1261</v>
      </c>
      <c r="M217" s="28" t="s">
        <v>647</v>
      </c>
      <c r="N217" s="28" t="s">
        <v>275</v>
      </c>
      <c r="O217" s="28" t="s">
        <v>548</v>
      </c>
      <c r="P217" s="26" t="s">
        <v>1414</v>
      </c>
      <c r="Q217" s="26" t="s">
        <v>134</v>
      </c>
      <c r="R217" s="26" t="s">
        <v>1296</v>
      </c>
      <c r="S217" s="26" t="s">
        <v>537</v>
      </c>
      <c r="T217" s="26" t="s">
        <v>537</v>
      </c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spans="1:38" s="40" customFormat="1" x14ac:dyDescent="0.25">
      <c r="A218" t="s">
        <v>1415</v>
      </c>
      <c r="B218" s="28" t="s">
        <v>1416</v>
      </c>
      <c r="C218" s="27">
        <v>6.2</v>
      </c>
      <c r="D218" s="26" t="s">
        <v>5</v>
      </c>
      <c r="E218" s="26" t="s">
        <v>1128</v>
      </c>
      <c r="F218" s="33"/>
      <c r="G218" s="26" t="s">
        <v>1417</v>
      </c>
      <c r="H218" s="31">
        <v>20</v>
      </c>
      <c r="I218" s="32"/>
      <c r="J218" s="11">
        <v>1</v>
      </c>
      <c r="K218" s="12" t="s">
        <v>1418</v>
      </c>
      <c r="L218" s="33" t="s">
        <v>600</v>
      </c>
      <c r="M218" s="26"/>
      <c r="N218" s="26" t="s">
        <v>737</v>
      </c>
      <c r="O218" s="26" t="s">
        <v>627</v>
      </c>
      <c r="P218" s="26" t="s">
        <v>1419</v>
      </c>
      <c r="Q218" s="26" t="s">
        <v>501</v>
      </c>
      <c r="R218" s="26" t="s">
        <v>1404</v>
      </c>
      <c r="S218" s="28" t="s">
        <v>192</v>
      </c>
      <c r="T218" s="26" t="s">
        <v>382</v>
      </c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spans="1:38" s="40" customFormat="1" x14ac:dyDescent="0.25">
      <c r="A219" t="s">
        <v>1420</v>
      </c>
      <c r="B219" s="28" t="s">
        <v>1421</v>
      </c>
      <c r="C219" s="7">
        <v>7.2</v>
      </c>
      <c r="D219" s="26" t="s">
        <v>5</v>
      </c>
      <c r="E219" s="26" t="s">
        <v>1128</v>
      </c>
      <c r="F219" s="33"/>
      <c r="G219" s="26" t="s">
        <v>1422</v>
      </c>
      <c r="H219" s="31">
        <v>20</v>
      </c>
      <c r="I219" s="32" t="s">
        <v>756</v>
      </c>
      <c r="J219" s="11">
        <v>6</v>
      </c>
      <c r="K219" s="12" t="s">
        <v>1220</v>
      </c>
      <c r="L219" s="33" t="s">
        <v>65</v>
      </c>
      <c r="M219" s="26"/>
      <c r="N219" s="26" t="s">
        <v>1423</v>
      </c>
      <c r="O219" s="26" t="s">
        <v>1392</v>
      </c>
      <c r="P219" s="26" t="s">
        <v>126</v>
      </c>
      <c r="Q219" s="26" t="s">
        <v>275</v>
      </c>
      <c r="R219" s="26" t="s">
        <v>1424</v>
      </c>
      <c r="S219" s="26" t="s">
        <v>1391</v>
      </c>
      <c r="T219" s="26" t="s">
        <v>64</v>
      </c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spans="1:20" x14ac:dyDescent="0.25">
      <c r="A220" t="s">
        <v>1425</v>
      </c>
      <c r="B220" s="28" t="s">
        <v>1426</v>
      </c>
      <c r="C220" s="35">
        <v>8.9</v>
      </c>
      <c r="D220" s="26" t="s">
        <v>29</v>
      </c>
      <c r="E220" s="26" t="s">
        <v>1128</v>
      </c>
      <c r="F220" s="33"/>
      <c r="G220" s="26" t="s">
        <v>1427</v>
      </c>
      <c r="H220" s="31">
        <v>20</v>
      </c>
      <c r="I220" s="32" t="s">
        <v>559</v>
      </c>
      <c r="J220" s="15">
        <v>0</v>
      </c>
      <c r="K220" s="12" t="s">
        <v>1428</v>
      </c>
      <c r="L220" s="33"/>
      <c r="M220" s="26" t="s">
        <v>1429</v>
      </c>
      <c r="N220" s="26" t="s">
        <v>1430</v>
      </c>
      <c r="O220" s="26" t="s">
        <v>432</v>
      </c>
      <c r="P220" s="26" t="s">
        <v>379</v>
      </c>
      <c r="Q220" s="26" t="s">
        <v>169</v>
      </c>
      <c r="R220" s="26" t="s">
        <v>1431</v>
      </c>
      <c r="S220" s="26" t="s">
        <v>719</v>
      </c>
      <c r="T220" s="26" t="s">
        <v>426</v>
      </c>
    </row>
    <row r="221" spans="1:38" s="16" customFormat="1" x14ac:dyDescent="0.25">
      <c r="A221" t="s">
        <v>1432</v>
      </c>
      <c r="B221" s="28" t="s">
        <v>1433</v>
      </c>
      <c r="C221" s="35">
        <v>8.9</v>
      </c>
      <c r="D221" s="26" t="s">
        <v>5</v>
      </c>
      <c r="E221" s="26" t="s">
        <v>1128</v>
      </c>
      <c r="F221" s="33"/>
      <c r="G221" s="26" t="s">
        <v>1434</v>
      </c>
      <c r="H221" s="31">
        <v>20</v>
      </c>
      <c r="I221" s="32" t="s">
        <v>623</v>
      </c>
      <c r="J221" s="15">
        <v>0</v>
      </c>
      <c r="K221" s="12" t="s">
        <v>1435</v>
      </c>
      <c r="L221" s="33" t="s">
        <v>642</v>
      </c>
      <c r="M221" s="26" t="s">
        <v>920</v>
      </c>
      <c r="N221" s="26" t="s">
        <v>361</v>
      </c>
      <c r="O221" s="26" t="s">
        <v>426</v>
      </c>
      <c r="P221" s="26" t="s">
        <v>736</v>
      </c>
      <c r="Q221" s="26"/>
      <c r="R221" s="26" t="s">
        <v>539</v>
      </c>
      <c r="S221" s="26" t="s">
        <v>603</v>
      </c>
      <c r="T221" s="26" t="s">
        <v>112</v>
      </c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spans="1:20" x14ac:dyDescent="0.25">
      <c r="A222" t="s">
        <v>1436</v>
      </c>
      <c r="B222" s="28" t="s">
        <v>1437</v>
      </c>
      <c r="C222" s="35">
        <v>7.2</v>
      </c>
      <c r="D222" s="26" t="s">
        <v>5</v>
      </c>
      <c r="E222" s="26" t="s">
        <v>1128</v>
      </c>
      <c r="F222" s="33"/>
      <c r="G222" s="26" t="s">
        <v>1438</v>
      </c>
      <c r="H222" s="31">
        <v>20</v>
      </c>
      <c r="I222" s="32"/>
      <c r="J222" s="11">
        <v>2</v>
      </c>
      <c r="K222" s="12" t="s">
        <v>1439</v>
      </c>
      <c r="L222" s="33" t="s">
        <v>589</v>
      </c>
      <c r="M222" s="26" t="s">
        <v>454</v>
      </c>
      <c r="N222" s="26" t="s">
        <v>283</v>
      </c>
      <c r="O222" s="26"/>
      <c r="P222" s="26"/>
      <c r="Q222" s="26"/>
      <c r="R222" s="26"/>
      <c r="S222" s="26"/>
      <c r="T222" s="26"/>
    </row>
    <row r="223" spans="1:20" s="14" customFormat="1" x14ac:dyDescent="0.25">
      <c r="A223">
        <v>7623500362862</v>
      </c>
      <c r="B223" s="28" t="s">
        <v>1440</v>
      </c>
      <c r="C223" s="27"/>
      <c r="D223" s="26" t="s">
        <v>5</v>
      </c>
      <c r="E223" s="26" t="s">
        <v>1128</v>
      </c>
      <c r="F223" s="33"/>
      <c r="G223" s="26" t="s">
        <v>1441</v>
      </c>
      <c r="H223" s="31">
        <v>20</v>
      </c>
      <c r="I223" s="32"/>
      <c r="J223" s="11">
        <v>2</v>
      </c>
      <c r="K223" s="12" t="s">
        <v>1442</v>
      </c>
      <c r="L223" s="33" t="s">
        <v>1241</v>
      </c>
      <c r="M223" s="26" t="s">
        <v>228</v>
      </c>
      <c r="N223" s="26" t="s">
        <v>1443</v>
      </c>
      <c r="O223" s="26" t="s">
        <v>275</v>
      </c>
      <c r="P223" s="26" t="s">
        <v>615</v>
      </c>
      <c r="Q223" s="26" t="s">
        <v>142</v>
      </c>
      <c r="R223" s="26" t="s">
        <v>1444</v>
      </c>
      <c r="S223" s="26" t="s">
        <v>806</v>
      </c>
      <c r="T223" s="26"/>
    </row>
    <row r="224" spans="1:20" x14ac:dyDescent="0.25">
      <c r="A224" s="4" t="s">
        <v>1445</v>
      </c>
      <c r="B224" s="28" t="s">
        <v>1446</v>
      </c>
      <c r="C224" s="27">
        <v>3</v>
      </c>
      <c r="D224" s="26" t="s">
        <v>29</v>
      </c>
      <c r="E224" s="26" t="s">
        <v>1128</v>
      </c>
      <c r="F224" s="33"/>
      <c r="G224" s="26" t="s">
        <v>1447</v>
      </c>
      <c r="H224" s="31">
        <v>25</v>
      </c>
      <c r="I224" s="32" t="s">
        <v>1448</v>
      </c>
      <c r="J224" s="15">
        <v>0</v>
      </c>
      <c r="K224" s="12" t="s">
        <v>1449</v>
      </c>
      <c r="L224" s="26" t="s">
        <v>162</v>
      </c>
      <c r="M224" s="26" t="s">
        <v>212</v>
      </c>
      <c r="N224" s="26" t="s">
        <v>169</v>
      </c>
      <c r="O224" s="26" t="s">
        <v>207</v>
      </c>
      <c r="P224" s="33" t="s">
        <v>1386</v>
      </c>
      <c r="Q224" s="26" t="s">
        <v>193</v>
      </c>
      <c r="R224" s="26" t="s">
        <v>895</v>
      </c>
      <c r="S224" s="26"/>
      <c r="T224" s="26" t="s">
        <v>425</v>
      </c>
    </row>
    <row r="225" spans="1:38" s="40" customFormat="1" x14ac:dyDescent="0.25">
      <c r="A225" t="s">
        <v>1450</v>
      </c>
      <c r="B225" s="28" t="s">
        <v>1451</v>
      </c>
      <c r="C225" s="35">
        <v>7.2</v>
      </c>
      <c r="D225" s="26" t="s">
        <v>5</v>
      </c>
      <c r="E225" s="26" t="s">
        <v>1128</v>
      </c>
      <c r="F225" s="33"/>
      <c r="G225" s="26" t="s">
        <v>1452</v>
      </c>
      <c r="H225" s="31">
        <v>20</v>
      </c>
      <c r="I225" s="32"/>
      <c r="J225" s="11">
        <v>1</v>
      </c>
      <c r="K225" s="12" t="s">
        <v>1453</v>
      </c>
      <c r="L225" s="33" t="s">
        <v>737</v>
      </c>
      <c r="M225" s="26" t="s">
        <v>1454</v>
      </c>
      <c r="N225" s="26" t="s">
        <v>627</v>
      </c>
      <c r="O225" s="26" t="s">
        <v>1455</v>
      </c>
      <c r="P225" s="26" t="s">
        <v>1456</v>
      </c>
      <c r="Q225" s="26" t="s">
        <v>1457</v>
      </c>
      <c r="R225" s="26" t="s">
        <v>719</v>
      </c>
      <c r="S225" s="26" t="s">
        <v>464</v>
      </c>
      <c r="T225" s="26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spans="1:20" x14ac:dyDescent="0.25">
      <c r="A226" t="s">
        <v>1458</v>
      </c>
      <c r="B226" s="49" t="s">
        <v>1459</v>
      </c>
      <c r="C226" s="103"/>
      <c r="D226" s="26" t="s">
        <v>29</v>
      </c>
      <c r="E226" s="26" t="s">
        <v>1128</v>
      </c>
      <c r="F226" s="33"/>
      <c r="G226" s="26" t="s">
        <v>1460</v>
      </c>
      <c r="H226" s="56">
        <v>12</v>
      </c>
      <c r="I226" s="32"/>
      <c r="J226" s="11">
        <v>2</v>
      </c>
      <c r="K226" s="34"/>
      <c r="L226" s="33" t="s">
        <v>900</v>
      </c>
      <c r="M226" s="26" t="s">
        <v>1461</v>
      </c>
      <c r="N226" s="26" t="s">
        <v>508</v>
      </c>
      <c r="O226" s="26" t="s">
        <v>991</v>
      </c>
      <c r="P226" s="26" t="s">
        <v>537</v>
      </c>
      <c r="Q226" s="26" t="s">
        <v>142</v>
      </c>
      <c r="R226" s="26" t="s">
        <v>1462</v>
      </c>
      <c r="S226" s="26" t="s">
        <v>553</v>
      </c>
      <c r="T226" s="26"/>
    </row>
    <row r="227" spans="2:20" x14ac:dyDescent="0.25">
      <c r="B227" s="76" t="s">
        <v>1463</v>
      </c>
      <c r="C227" s="77"/>
      <c r="D227" s="76"/>
      <c r="E227" s="26" t="s">
        <v>1128</v>
      </c>
      <c r="F227" s="33"/>
      <c r="G227" s="76" t="s">
        <v>1464</v>
      </c>
      <c r="H227" s="78">
        <v>10</v>
      </c>
      <c r="I227" s="38"/>
      <c r="J227" s="96">
        <v>0</v>
      </c>
      <c r="K227" s="79"/>
      <c r="L227" s="30" t="s">
        <v>509</v>
      </c>
      <c r="M227" s="76" t="s">
        <v>1444</v>
      </c>
      <c r="N227" s="76" t="s">
        <v>713</v>
      </c>
      <c r="O227" s="76" t="s">
        <v>536</v>
      </c>
      <c r="P227" s="76" t="s">
        <v>497</v>
      </c>
      <c r="Q227" s="76" t="s">
        <v>117</v>
      </c>
      <c r="R227" s="76" t="s">
        <v>589</v>
      </c>
      <c r="S227" s="76" t="s">
        <v>131</v>
      </c>
      <c r="T227" s="76"/>
    </row>
    <row r="228" spans="2:38" s="16" customFormat="1" x14ac:dyDescent="0.25">
      <c r="B228" s="85" t="s">
        <v>1465</v>
      </c>
      <c r="C228" s="86"/>
      <c r="D228" s="85"/>
      <c r="E228" s="42" t="s">
        <v>1128</v>
      </c>
      <c r="F228" s="44"/>
      <c r="G228" s="85" t="s">
        <v>1466</v>
      </c>
      <c r="H228" s="88">
        <v>10</v>
      </c>
      <c r="I228" s="89" t="s">
        <v>1467</v>
      </c>
      <c r="J228" s="90">
        <v>0</v>
      </c>
      <c r="K228" s="98" t="s">
        <v>1468</v>
      </c>
      <c r="L228" s="87" t="s">
        <v>1063</v>
      </c>
      <c r="M228" s="85" t="s">
        <v>1469</v>
      </c>
      <c r="N228" s="85" t="s">
        <v>1470</v>
      </c>
      <c r="O228" s="85"/>
      <c r="P228" s="85"/>
      <c r="Q228" s="85"/>
      <c r="R228" s="85"/>
      <c r="S228" s="85"/>
      <c r="T228" s="85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spans="1:20" x14ac:dyDescent="0.25">
      <c r="A229" s="4" t="s">
        <v>1471</v>
      </c>
      <c r="B229" s="76" t="s">
        <v>1472</v>
      </c>
      <c r="C229" s="77"/>
      <c r="D229" s="76" t="s">
        <v>5</v>
      </c>
      <c r="E229" s="26" t="s">
        <v>1128</v>
      </c>
      <c r="F229" s="33"/>
      <c r="G229" s="76" t="s">
        <v>1473</v>
      </c>
      <c r="H229" s="78">
        <v>10</v>
      </c>
      <c r="I229" s="38"/>
      <c r="J229" s="37">
        <v>0</v>
      </c>
      <c r="K229" s="79" t="s">
        <v>1413</v>
      </c>
      <c r="L229" s="30" t="s">
        <v>1147</v>
      </c>
      <c r="M229" s="76" t="s">
        <v>802</v>
      </c>
      <c r="N229" s="76" t="s">
        <v>131</v>
      </c>
      <c r="O229" s="76" t="s">
        <v>1474</v>
      </c>
      <c r="P229" s="76" t="s">
        <v>1296</v>
      </c>
      <c r="Q229" s="76" t="s">
        <v>600</v>
      </c>
      <c r="R229" s="76"/>
      <c r="S229" s="76"/>
      <c r="T229" s="76"/>
    </row>
    <row r="230" spans="1:38" s="40" customFormat="1" x14ac:dyDescent="0.25">
      <c r="A230" s="4" t="s">
        <v>1475</v>
      </c>
      <c r="B230" s="26" t="s">
        <v>1476</v>
      </c>
      <c r="C230" s="27">
        <v>6.1</v>
      </c>
      <c r="D230" s="55" t="s">
        <v>29</v>
      </c>
      <c r="E230" s="26" t="s">
        <v>1128</v>
      </c>
      <c r="F230" s="33"/>
      <c r="G230" s="26" t="s">
        <v>1477</v>
      </c>
      <c r="H230" s="56">
        <v>25</v>
      </c>
      <c r="I230" s="32"/>
      <c r="J230" s="11">
        <v>2</v>
      </c>
      <c r="K230" s="12" t="s">
        <v>854</v>
      </c>
      <c r="L230" s="134" t="s">
        <v>719</v>
      </c>
      <c r="M230" s="135" t="s">
        <v>465</v>
      </c>
      <c r="N230" s="135"/>
      <c r="O230" s="135" t="s">
        <v>698</v>
      </c>
      <c r="P230" s="4" t="s">
        <v>423</v>
      </c>
      <c r="Q230" s="4" t="s">
        <v>598</v>
      </c>
      <c r="R230" s="4" t="s">
        <v>743</v>
      </c>
      <c r="S230" s="4" t="s">
        <v>49</v>
      </c>
      <c r="T230" s="4" t="s">
        <v>134</v>
      </c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spans="1:38" s="40" customFormat="1" x14ac:dyDescent="0.25">
      <c r="A231" t="s">
        <v>1478</v>
      </c>
      <c r="B231" s="49" t="s">
        <v>1479</v>
      </c>
      <c r="C231" s="103"/>
      <c r="D231" s="26" t="s">
        <v>29</v>
      </c>
      <c r="E231" s="26" t="s">
        <v>1128</v>
      </c>
      <c r="F231" s="33"/>
      <c r="G231" s="26" t="s">
        <v>1480</v>
      </c>
      <c r="H231" s="56">
        <v>25</v>
      </c>
      <c r="I231" s="32" t="s">
        <v>1481</v>
      </c>
      <c r="J231" s="15">
        <v>1</v>
      </c>
      <c r="K231" s="34" t="s">
        <v>1482</v>
      </c>
      <c r="L231" s="134" t="s">
        <v>612</v>
      </c>
      <c r="M231" s="4" t="s">
        <v>62</v>
      </c>
      <c r="N231" s="4" t="s">
        <v>121</v>
      </c>
      <c r="O231" s="4" t="s">
        <v>1483</v>
      </c>
      <c r="P231" s="4" t="s">
        <v>413</v>
      </c>
      <c r="Q231" s="4" t="s">
        <v>463</v>
      </c>
      <c r="R231" s="4" t="s">
        <v>258</v>
      </c>
      <c r="S231" s="4" t="s">
        <v>158</v>
      </c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spans="1:38" s="40" customFormat="1" x14ac:dyDescent="0.25">
      <c r="A232" s="4" t="s">
        <v>1484</v>
      </c>
      <c r="B232" s="116" t="s">
        <v>1485</v>
      </c>
      <c r="C232" s="117">
        <v>6.5</v>
      </c>
      <c r="D232" s="26" t="s">
        <v>29</v>
      </c>
      <c r="E232" s="26" t="s">
        <v>1128</v>
      </c>
      <c r="F232" s="33"/>
      <c r="G232" s="26" t="s">
        <v>1486</v>
      </c>
      <c r="H232" s="31">
        <v>20</v>
      </c>
      <c r="I232" s="32" t="s">
        <v>490</v>
      </c>
      <c r="J232" s="11">
        <v>3</v>
      </c>
      <c r="K232" s="12" t="s">
        <v>889</v>
      </c>
      <c r="L232" s="134" t="s">
        <v>913</v>
      </c>
      <c r="M232" s="4" t="s">
        <v>864</v>
      </c>
      <c r="N232" s="4"/>
      <c r="O232" s="4" t="s">
        <v>107</v>
      </c>
      <c r="P232" s="4" t="s">
        <v>1252</v>
      </c>
      <c r="Q232" s="4" t="s">
        <v>1487</v>
      </c>
      <c r="R232" s="4" t="s">
        <v>537</v>
      </c>
      <c r="S232" s="4" t="s">
        <v>1488</v>
      </c>
      <c r="T232" s="4" t="s">
        <v>862</v>
      </c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spans="1:20" x14ac:dyDescent="0.25">
      <c r="A233" t="s">
        <v>1489</v>
      </c>
      <c r="B233" s="116" t="s">
        <v>1490</v>
      </c>
      <c r="C233" s="117">
        <v>6.5</v>
      </c>
      <c r="D233" s="26" t="s">
        <v>29</v>
      </c>
      <c r="E233" s="26" t="s">
        <v>1128</v>
      </c>
      <c r="F233" s="33"/>
      <c r="G233" s="26" t="s">
        <v>1491</v>
      </c>
      <c r="H233" s="31">
        <v>12</v>
      </c>
      <c r="I233" s="32"/>
      <c r="J233" s="11">
        <v>3</v>
      </c>
      <c r="K233" s="12" t="s">
        <v>1492</v>
      </c>
      <c r="L233" s="134" t="s">
        <v>1493</v>
      </c>
      <c r="M233" s="4" t="s">
        <v>900</v>
      </c>
      <c r="N233" s="4" t="s">
        <v>534</v>
      </c>
      <c r="O233" s="4" t="s">
        <v>1253</v>
      </c>
      <c r="P233" s="4" t="s">
        <v>216</v>
      </c>
      <c r="Q233" s="4" t="s">
        <v>1494</v>
      </c>
      <c r="R233" s="4" t="s">
        <v>1495</v>
      </c>
      <c r="S233" s="4"/>
      <c r="T233" s="4"/>
    </row>
    <row r="234" spans="2:12" s="40" customFormat="1" x14ac:dyDescent="0.25">
      <c r="B234" s="136" t="s">
        <v>1496</v>
      </c>
      <c r="C234" s="127"/>
      <c r="D234" s="42" t="s">
        <v>29</v>
      </c>
      <c r="E234" s="42" t="s">
        <v>1128</v>
      </c>
      <c r="F234" s="44"/>
      <c r="G234" s="42" t="s">
        <v>1497</v>
      </c>
      <c r="H234" s="45">
        <v>12</v>
      </c>
      <c r="I234" s="46"/>
      <c r="J234" s="47">
        <v>0</v>
      </c>
      <c r="K234" s="48" t="s">
        <v>1498</v>
      </c>
      <c r="L234" s="137" t="s">
        <v>1499</v>
      </c>
    </row>
    <row r="235" spans="1:15" s="14" customFormat="1" x14ac:dyDescent="0.25">
      <c r="A235" s="4" t="s">
        <v>1500</v>
      </c>
      <c r="B235" s="26" t="s">
        <v>1501</v>
      </c>
      <c r="C235" s="27">
        <v>6.8</v>
      </c>
      <c r="D235" s="55" t="s">
        <v>29</v>
      </c>
      <c r="E235" s="26" t="s">
        <v>1128</v>
      </c>
      <c r="F235" s="33"/>
      <c r="G235" s="26" t="s">
        <v>1502</v>
      </c>
      <c r="H235" s="56">
        <v>25</v>
      </c>
      <c r="I235" s="32"/>
      <c r="J235" s="11">
        <v>4</v>
      </c>
      <c r="K235" s="12" t="s">
        <v>854</v>
      </c>
      <c r="L235" s="134" t="s">
        <v>11</v>
      </c>
      <c r="O235" s="138"/>
    </row>
    <row r="236" spans="1:38" s="40" customFormat="1" x14ac:dyDescent="0.25">
      <c r="A236" s="40" t="s">
        <v>1500</v>
      </c>
      <c r="B236" s="42" t="s">
        <v>1503</v>
      </c>
      <c r="C236" s="43">
        <v>6.8</v>
      </c>
      <c r="D236" s="64" t="s">
        <v>29</v>
      </c>
      <c r="E236" s="42" t="s">
        <v>1128</v>
      </c>
      <c r="F236" s="44"/>
      <c r="G236" s="42" t="s">
        <v>1504</v>
      </c>
      <c r="H236" s="57">
        <v>4</v>
      </c>
      <c r="I236" s="46"/>
      <c r="J236" s="47">
        <v>0</v>
      </c>
      <c r="K236" s="48" t="s">
        <v>1505</v>
      </c>
      <c r="L236" s="137"/>
      <c r="M236" s="40" t="s">
        <v>1098</v>
      </c>
      <c r="N236" s="40" t="s">
        <v>582</v>
      </c>
      <c r="O236" s="139" t="s">
        <v>1506</v>
      </c>
      <c r="P236" s="40" t="s">
        <v>231</v>
      </c>
      <c r="Q236" s="40" t="s">
        <v>501</v>
      </c>
      <c r="R236" s="40" t="s">
        <v>829</v>
      </c>
      <c r="S236" s="40" t="s">
        <v>1507</v>
      </c>
      <c r="T236" s="40" t="s">
        <v>224</v>
      </c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spans="1:38" s="40" customFormat="1" x14ac:dyDescent="0.25">
      <c r="A237" s="40" t="s">
        <v>1508</v>
      </c>
      <c r="B237" s="40" t="s">
        <v>1509</v>
      </c>
      <c r="C237" s="140">
        <v>7.8</v>
      </c>
      <c r="D237" s="40" t="s">
        <v>29</v>
      </c>
      <c r="E237" s="40" t="s">
        <v>1128</v>
      </c>
      <c r="F237" s="137"/>
      <c r="G237" s="40" t="s">
        <v>1510</v>
      </c>
      <c r="H237" s="141">
        <v>4</v>
      </c>
      <c r="I237" s="142"/>
      <c r="J237" s="143">
        <v>3</v>
      </c>
      <c r="K237" s="144" t="s">
        <v>1511</v>
      </c>
      <c r="L237" s="137" t="s">
        <v>170</v>
      </c>
      <c r="M237" s="40" t="s">
        <v>1512</v>
      </c>
      <c r="N237" s="40" t="s">
        <v>1513</v>
      </c>
      <c r="O237" s="139" t="s">
        <v>1514</v>
      </c>
      <c r="P237" s="40" t="s">
        <v>1392</v>
      </c>
      <c r="Q237" s="40" t="s">
        <v>1515</v>
      </c>
      <c r="R237" s="40" t="s">
        <v>25</v>
      </c>
      <c r="S237" s="40" t="s">
        <v>246</v>
      </c>
      <c r="T237" s="40" t="s">
        <v>1516</v>
      </c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spans="2:20" x14ac:dyDescent="0.25">
      <c r="B238" s="55" t="s">
        <v>1517</v>
      </c>
      <c r="C238" s="59"/>
      <c r="D238" s="26" t="s">
        <v>1518</v>
      </c>
      <c r="E238" s="29" t="s">
        <v>1519</v>
      </c>
      <c r="F238" s="30"/>
      <c r="G238" s="55" t="s">
        <v>1520</v>
      </c>
      <c r="H238" s="61">
        <v>50</v>
      </c>
      <c r="I238" s="62"/>
      <c r="J238" s="63">
        <v>0</v>
      </c>
      <c r="K238" s="12" t="s">
        <v>1521</v>
      </c>
      <c r="L238" s="145" t="s">
        <v>1522</v>
      </c>
      <c r="M238" s="26" t="s">
        <v>1523</v>
      </c>
      <c r="N238" s="26"/>
      <c r="O238" s="26"/>
      <c r="P238" s="26"/>
      <c r="Q238" s="26"/>
      <c r="R238" s="26"/>
      <c r="S238" s="26"/>
      <c r="T238" s="26"/>
    </row>
    <row r="239" spans="1:20" x14ac:dyDescent="0.25">
      <c r="A239" t="s">
        <v>1524</v>
      </c>
      <c r="B239" s="122" t="s">
        <v>1525</v>
      </c>
      <c r="C239" s="146">
        <v>3</v>
      </c>
      <c r="D239" s="26" t="s">
        <v>29</v>
      </c>
      <c r="E239" s="26" t="s">
        <v>1526</v>
      </c>
      <c r="F239" s="33"/>
      <c r="G239" s="26" t="s">
        <v>1527</v>
      </c>
      <c r="H239" s="31">
        <v>10</v>
      </c>
      <c r="I239" s="46" t="s">
        <v>1528</v>
      </c>
      <c r="J239" s="11">
        <v>5</v>
      </c>
      <c r="K239" s="12">
        <v>3</v>
      </c>
      <c r="L239" s="33" t="s">
        <v>463</v>
      </c>
      <c r="M239" s="26" t="s">
        <v>600</v>
      </c>
      <c r="N239" s="26" t="s">
        <v>474</v>
      </c>
      <c r="O239" s="26" t="s">
        <v>464</v>
      </c>
      <c r="P239" s="26" t="s">
        <v>60</v>
      </c>
      <c r="Q239" s="26" t="s">
        <v>1529</v>
      </c>
      <c r="R239" s="26" t="s">
        <v>1530</v>
      </c>
      <c r="S239" s="26" t="s">
        <v>148</v>
      </c>
      <c r="T239" s="26" t="s">
        <v>1531</v>
      </c>
    </row>
    <row r="240" spans="2:20" x14ac:dyDescent="0.25">
      <c r="B240" s="26" t="s">
        <v>1532</v>
      </c>
      <c r="C240" s="27"/>
      <c r="D240" s="26" t="s">
        <v>29</v>
      </c>
      <c r="E240" s="26" t="s">
        <v>1526</v>
      </c>
      <c r="F240" s="33"/>
      <c r="G240" s="26" t="s">
        <v>1533</v>
      </c>
      <c r="H240" s="56">
        <v>10</v>
      </c>
      <c r="I240" s="46"/>
      <c r="J240" s="15">
        <v>0</v>
      </c>
      <c r="K240" s="12" t="s">
        <v>1534</v>
      </c>
      <c r="L240" s="33" t="s">
        <v>900</v>
      </c>
      <c r="M240" s="26" t="s">
        <v>1535</v>
      </c>
      <c r="N240" s="26" t="s">
        <v>509</v>
      </c>
      <c r="O240" s="26" t="s">
        <v>265</v>
      </c>
      <c r="P240" s="26" t="s">
        <v>1536</v>
      </c>
      <c r="Q240" s="26" t="s">
        <v>538</v>
      </c>
      <c r="R240" s="26" t="s">
        <v>1537</v>
      </c>
      <c r="S240" s="26" t="s">
        <v>379</v>
      </c>
      <c r="T240" s="26"/>
    </row>
    <row r="241" spans="2:20" x14ac:dyDescent="0.25">
      <c r="B241" s="122" t="s">
        <v>1538</v>
      </c>
      <c r="C241" s="123"/>
      <c r="D241" s="26" t="s">
        <v>29</v>
      </c>
      <c r="E241" s="26" t="s">
        <v>1526</v>
      </c>
      <c r="F241" s="33"/>
      <c r="G241" s="26" t="s">
        <v>1539</v>
      </c>
      <c r="H241" s="31">
        <v>20</v>
      </c>
      <c r="I241" s="46"/>
      <c r="J241" s="11">
        <v>1</v>
      </c>
      <c r="K241" s="12" t="s">
        <v>1540</v>
      </c>
      <c r="L241" s="33" t="s">
        <v>1541</v>
      </c>
      <c r="M241" s="28" t="s">
        <v>538</v>
      </c>
      <c r="N241" s="26" t="s">
        <v>1542</v>
      </c>
      <c r="O241" s="26"/>
      <c r="P241" s="26"/>
      <c r="Q241" s="26"/>
      <c r="R241" s="26"/>
      <c r="S241" s="26"/>
      <c r="T241" s="26"/>
    </row>
    <row r="242" spans="1:20" s="14" customFormat="1" x14ac:dyDescent="0.25">
      <c r="A242" t="s">
        <v>1543</v>
      </c>
      <c r="B242" s="122" t="s">
        <v>1544</v>
      </c>
      <c r="C242" s="123"/>
      <c r="D242" s="26" t="s">
        <v>29</v>
      </c>
      <c r="E242" s="26" t="s">
        <v>1526</v>
      </c>
      <c r="F242" s="33"/>
      <c r="G242" s="26" t="s">
        <v>1545</v>
      </c>
      <c r="H242" s="31">
        <v>20</v>
      </c>
      <c r="I242" s="46"/>
      <c r="J242" s="11">
        <v>3</v>
      </c>
      <c r="K242" s="12" t="s">
        <v>1546</v>
      </c>
      <c r="L242" s="33" t="s">
        <v>1547</v>
      </c>
      <c r="M242" s="26"/>
      <c r="N242" s="26"/>
      <c r="O242" s="26"/>
      <c r="P242" s="26"/>
      <c r="Q242" s="26"/>
      <c r="R242" s="26"/>
      <c r="S242" s="26"/>
      <c r="T242" s="26"/>
    </row>
    <row r="243" spans="1:20" s="14" customFormat="1" x14ac:dyDescent="0.25">
      <c r="A243" s="16"/>
      <c r="B243" s="147" t="s">
        <v>1548</v>
      </c>
      <c r="C243" s="148"/>
      <c r="D243" s="17" t="s">
        <v>29</v>
      </c>
      <c r="E243" s="17" t="s">
        <v>1526</v>
      </c>
      <c r="F243" s="25"/>
      <c r="G243" s="17" t="s">
        <v>1549</v>
      </c>
      <c r="H243" s="22">
        <v>10</v>
      </c>
      <c r="I243" s="46"/>
      <c r="J243" s="15">
        <v>0</v>
      </c>
      <c r="K243" s="24" t="s">
        <v>1550</v>
      </c>
      <c r="L243" s="25" t="s">
        <v>471</v>
      </c>
      <c r="M243" s="17" t="s">
        <v>218</v>
      </c>
      <c r="N243" s="17"/>
      <c r="O243" s="17"/>
      <c r="P243" s="17"/>
      <c r="Q243" s="17"/>
      <c r="R243" s="17"/>
      <c r="S243" s="17"/>
      <c r="T243" s="17"/>
    </row>
    <row r="244" spans="2:38" s="40" customFormat="1" x14ac:dyDescent="0.25">
      <c r="B244" s="122" t="s">
        <v>1551</v>
      </c>
      <c r="C244" s="123">
        <v>6</v>
      </c>
      <c r="D244" s="26" t="s">
        <v>29</v>
      </c>
      <c r="E244" s="26" t="s">
        <v>1526</v>
      </c>
      <c r="F244" s="33"/>
      <c r="G244" s="26" t="s">
        <v>1552</v>
      </c>
      <c r="H244" s="31">
        <v>10</v>
      </c>
      <c r="I244" s="46"/>
      <c r="J244" s="15">
        <v>0</v>
      </c>
      <c r="K244" s="12" t="s">
        <v>1553</v>
      </c>
      <c r="L244" s="33" t="s">
        <v>1554</v>
      </c>
      <c r="M244" s="28" t="s">
        <v>1555</v>
      </c>
      <c r="N244" s="26" t="s">
        <v>1556</v>
      </c>
      <c r="O244" s="26" t="s">
        <v>802</v>
      </c>
      <c r="P244" s="26" t="s">
        <v>1557</v>
      </c>
      <c r="Q244" s="26" t="s">
        <v>1003</v>
      </c>
      <c r="R244" s="26" t="s">
        <v>1004</v>
      </c>
      <c r="S244" s="26" t="s">
        <v>565</v>
      </c>
      <c r="T244" s="26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spans="2:20" x14ac:dyDescent="0.25">
      <c r="B245" s="122" t="s">
        <v>1558</v>
      </c>
      <c r="C245" s="123">
        <v>8.3</v>
      </c>
      <c r="D245" s="26" t="s">
        <v>29</v>
      </c>
      <c r="E245" s="26" t="s">
        <v>1526</v>
      </c>
      <c r="F245" s="33"/>
      <c r="G245" s="26" t="s">
        <v>1559</v>
      </c>
      <c r="H245" s="31">
        <v>25</v>
      </c>
      <c r="I245" s="46"/>
      <c r="J245" s="15">
        <v>0</v>
      </c>
      <c r="K245" s="12" t="s">
        <v>1560</v>
      </c>
      <c r="L245" s="149" t="s">
        <v>565</v>
      </c>
      <c r="M245" s="26" t="s">
        <v>379</v>
      </c>
      <c r="N245" s="26"/>
      <c r="O245" s="26" t="s">
        <v>1561</v>
      </c>
      <c r="P245" s="26" t="s">
        <v>265</v>
      </c>
      <c r="Q245" s="26" t="s">
        <v>1409</v>
      </c>
      <c r="R245" s="56" t="s">
        <v>1562</v>
      </c>
      <c r="S245" s="26" t="s">
        <v>435</v>
      </c>
      <c r="T245" s="26" t="s">
        <v>436</v>
      </c>
    </row>
    <row r="246" spans="1:20" x14ac:dyDescent="0.25">
      <c r="A246" t="s">
        <v>1563</v>
      </c>
      <c r="B246" s="150" t="s">
        <v>1564</v>
      </c>
      <c r="C246" s="151"/>
      <c r="D246" s="6" t="s">
        <v>29</v>
      </c>
      <c r="E246" s="6" t="s">
        <v>1526</v>
      </c>
      <c r="F246" s="8"/>
      <c r="G246" s="6" t="s">
        <v>1565</v>
      </c>
      <c r="H246" s="50">
        <v>24</v>
      </c>
      <c r="I246" s="10"/>
      <c r="J246" s="51">
        <v>3</v>
      </c>
      <c r="K246" s="52" t="s">
        <v>356</v>
      </c>
      <c r="L246" s="8" t="s">
        <v>46</v>
      </c>
      <c r="M246" s="6" t="s">
        <v>213</v>
      </c>
      <c r="N246" s="6"/>
      <c r="O246" s="6" t="s">
        <v>110</v>
      </c>
      <c r="P246" s="6" t="s">
        <v>1566</v>
      </c>
      <c r="Q246" s="6" t="s">
        <v>1554</v>
      </c>
      <c r="R246" s="6" t="s">
        <v>246</v>
      </c>
      <c r="S246" s="6" t="s">
        <v>598</v>
      </c>
      <c r="T246" s="6" t="s">
        <v>379</v>
      </c>
    </row>
    <row r="247" spans="1:20" x14ac:dyDescent="0.25">
      <c r="A247">
        <v>44002811020</v>
      </c>
      <c r="B247" s="122" t="s">
        <v>1567</v>
      </c>
      <c r="C247" s="123"/>
      <c r="D247" s="26" t="s">
        <v>29</v>
      </c>
      <c r="E247" s="26" t="s">
        <v>1526</v>
      </c>
      <c r="F247" s="33"/>
      <c r="G247" s="26" t="s">
        <v>1568</v>
      </c>
      <c r="H247" s="31">
        <v>6</v>
      </c>
      <c r="I247" s="32"/>
      <c r="J247" s="11">
        <v>6</v>
      </c>
      <c r="K247" s="34" t="s">
        <v>1569</v>
      </c>
      <c r="L247" s="33" t="s">
        <v>1570</v>
      </c>
      <c r="M247" s="26" t="s">
        <v>1571</v>
      </c>
      <c r="N247" s="26" t="s">
        <v>1572</v>
      </c>
      <c r="O247" s="26" t="s">
        <v>537</v>
      </c>
      <c r="P247" s="26" t="s">
        <v>1573</v>
      </c>
      <c r="Q247" s="26" t="s">
        <v>135</v>
      </c>
      <c r="R247" s="26" t="s">
        <v>812</v>
      </c>
      <c r="S247" s="26" t="s">
        <v>404</v>
      </c>
      <c r="T247" s="26"/>
    </row>
    <row r="248" spans="1:20" x14ac:dyDescent="0.25">
      <c r="A248" s="16"/>
      <c r="B248" s="147" t="s">
        <v>1574</v>
      </c>
      <c r="C248" s="148"/>
      <c r="D248" s="17" t="s">
        <v>29</v>
      </c>
      <c r="E248" s="17" t="s">
        <v>1526</v>
      </c>
      <c r="F248" s="25"/>
      <c r="G248" s="17" t="s">
        <v>1575</v>
      </c>
      <c r="H248" s="22">
        <v>6</v>
      </c>
      <c r="I248" s="23" t="s">
        <v>1576</v>
      </c>
      <c r="J248" s="15">
        <v>0</v>
      </c>
      <c r="K248" s="84" t="s">
        <v>1577</v>
      </c>
      <c r="L248" s="25" t="s">
        <v>1578</v>
      </c>
      <c r="M248" s="17" t="s">
        <v>1579</v>
      </c>
      <c r="N248" s="17" t="s">
        <v>1580</v>
      </c>
      <c r="O248" s="17" t="s">
        <v>737</v>
      </c>
      <c r="P248" s="17" t="s">
        <v>1581</v>
      </c>
      <c r="Q248" s="17" t="s">
        <v>650</v>
      </c>
      <c r="R248" s="17"/>
      <c r="S248" s="17"/>
      <c r="T248" s="17"/>
    </row>
    <row r="249" spans="1:20" x14ac:dyDescent="0.25">
      <c r="A249" t="s">
        <v>1582</v>
      </c>
      <c r="B249" s="122" t="s">
        <v>1583</v>
      </c>
      <c r="C249" s="123">
        <v>7.9</v>
      </c>
      <c r="D249" s="26" t="s">
        <v>29</v>
      </c>
      <c r="E249" s="26" t="s">
        <v>1526</v>
      </c>
      <c r="F249" s="134"/>
      <c r="G249" s="4" t="s">
        <v>1584</v>
      </c>
      <c r="H249" s="31">
        <v>25</v>
      </c>
      <c r="I249" s="32"/>
      <c r="J249" s="51">
        <v>3</v>
      </c>
      <c r="K249" s="12" t="s">
        <v>1585</v>
      </c>
      <c r="L249" s="33" t="s">
        <v>135</v>
      </c>
      <c r="M249" s="26" t="s">
        <v>361</v>
      </c>
      <c r="N249" s="26" t="s">
        <v>1586</v>
      </c>
      <c r="O249" s="26" t="s">
        <v>501</v>
      </c>
      <c r="P249" s="26" t="s">
        <v>1587</v>
      </c>
      <c r="Q249" s="26" t="s">
        <v>1588</v>
      </c>
      <c r="R249" s="26" t="s">
        <v>1541</v>
      </c>
      <c r="S249" s="26" t="s">
        <v>805</v>
      </c>
      <c r="T249" s="26" t="s">
        <v>83</v>
      </c>
    </row>
    <row r="250" spans="1:20" x14ac:dyDescent="0.25">
      <c r="A250" t="s">
        <v>1589</v>
      </c>
      <c r="B250" s="122" t="s">
        <v>1590</v>
      </c>
      <c r="C250" s="123">
        <v>7.2</v>
      </c>
      <c r="D250" s="26" t="s">
        <v>29</v>
      </c>
      <c r="E250" s="26" t="s">
        <v>1526</v>
      </c>
      <c r="F250" s="134"/>
      <c r="G250" s="4" t="s">
        <v>1591</v>
      </c>
      <c r="H250" s="31">
        <v>25</v>
      </c>
      <c r="I250" s="32"/>
      <c r="J250" s="11">
        <v>0</v>
      </c>
      <c r="K250" s="12" t="s">
        <v>1592</v>
      </c>
      <c r="L250" s="33" t="s">
        <v>1212</v>
      </c>
      <c r="M250" s="26" t="s">
        <v>9</v>
      </c>
      <c r="N250" s="26" t="s">
        <v>1593</v>
      </c>
      <c r="O250" s="26" t="s">
        <v>1594</v>
      </c>
      <c r="P250" s="26" t="s">
        <v>65</v>
      </c>
      <c r="Q250" s="26" t="s">
        <v>135</v>
      </c>
      <c r="R250" s="26" t="s">
        <v>292</v>
      </c>
      <c r="S250" s="26"/>
      <c r="T250" s="26"/>
    </row>
    <row r="251" spans="2:20" x14ac:dyDescent="0.25">
      <c r="B251" s="107" t="s">
        <v>1595</v>
      </c>
      <c r="C251" s="108"/>
      <c r="D251" s="42" t="s">
        <v>29</v>
      </c>
      <c r="E251" s="42" t="s">
        <v>1526</v>
      </c>
      <c r="F251" s="44"/>
      <c r="G251" s="42" t="s">
        <v>1596</v>
      </c>
      <c r="H251" s="45">
        <v>25</v>
      </c>
      <c r="I251" s="46" t="s">
        <v>1152</v>
      </c>
      <c r="J251" s="47">
        <v>0</v>
      </c>
      <c r="K251" s="48"/>
      <c r="L251" s="44" t="s">
        <v>1597</v>
      </c>
      <c r="M251" s="42" t="s">
        <v>1598</v>
      </c>
      <c r="N251" s="42"/>
      <c r="O251" s="42"/>
      <c r="P251" s="42"/>
      <c r="Q251" s="42"/>
      <c r="R251" s="42"/>
      <c r="S251" s="42"/>
      <c r="T251" s="42"/>
    </row>
    <row r="252" spans="2:20" x14ac:dyDescent="0.25">
      <c r="B252" s="107" t="s">
        <v>1599</v>
      </c>
      <c r="C252" s="108"/>
      <c r="D252" s="42" t="s">
        <v>29</v>
      </c>
      <c r="E252" s="42" t="s">
        <v>1526</v>
      </c>
      <c r="F252" s="44"/>
      <c r="G252" s="42" t="s">
        <v>1600</v>
      </c>
      <c r="H252" s="45">
        <v>25</v>
      </c>
      <c r="I252" s="46" t="s">
        <v>1152</v>
      </c>
      <c r="J252" s="47">
        <v>0</v>
      </c>
      <c r="K252" s="109" t="s">
        <v>1601</v>
      </c>
      <c r="L252" s="44" t="s">
        <v>22</v>
      </c>
      <c r="M252" s="42" t="s">
        <v>1602</v>
      </c>
      <c r="N252" s="42"/>
      <c r="O252" s="42"/>
      <c r="P252" s="42"/>
      <c r="Q252" s="42"/>
      <c r="R252" s="42"/>
      <c r="S252" s="42"/>
      <c r="T252" s="42"/>
    </row>
    <row r="253" spans="1:20" s="14" customFormat="1" x14ac:dyDescent="0.25">
      <c r="A253" t="s">
        <v>1603</v>
      </c>
      <c r="B253" s="122" t="s">
        <v>1604</v>
      </c>
      <c r="C253" s="123"/>
      <c r="D253" s="26" t="s">
        <v>29</v>
      </c>
      <c r="E253" s="26" t="s">
        <v>1526</v>
      </c>
      <c r="F253" s="33"/>
      <c r="G253" s="26" t="s">
        <v>1605</v>
      </c>
      <c r="H253" s="31">
        <v>20</v>
      </c>
      <c r="I253" s="152" t="s">
        <v>1152</v>
      </c>
      <c r="J253" s="11">
        <v>1</v>
      </c>
      <c r="K253" s="153" t="s">
        <v>1606</v>
      </c>
      <c r="L253" s="33" t="s">
        <v>22</v>
      </c>
      <c r="M253" s="26" t="s">
        <v>1607</v>
      </c>
      <c r="N253" s="26"/>
      <c r="O253" s="26"/>
      <c r="P253" s="26"/>
      <c r="Q253" s="26"/>
      <c r="R253" s="26"/>
      <c r="S253" s="26"/>
      <c r="T253" s="26"/>
    </row>
    <row r="254" spans="2:20" x14ac:dyDescent="0.25">
      <c r="B254" s="107" t="s">
        <v>1608</v>
      </c>
      <c r="C254" s="108"/>
      <c r="D254" s="42" t="s">
        <v>29</v>
      </c>
      <c r="E254" s="42" t="s">
        <v>1526</v>
      </c>
      <c r="F254" s="44"/>
      <c r="G254" s="42" t="s">
        <v>1609</v>
      </c>
      <c r="H254" s="45">
        <v>20</v>
      </c>
      <c r="I254" s="46" t="s">
        <v>1152</v>
      </c>
      <c r="J254" s="47">
        <v>0</v>
      </c>
      <c r="K254" s="48"/>
      <c r="L254" s="44" t="s">
        <v>1610</v>
      </c>
      <c r="M254" s="42" t="s">
        <v>1611</v>
      </c>
      <c r="N254" s="42"/>
      <c r="O254" s="42"/>
      <c r="P254" s="42"/>
      <c r="Q254" s="42"/>
      <c r="R254" s="42"/>
      <c r="S254" s="42"/>
      <c r="T254" s="42"/>
    </row>
    <row r="255" spans="1:20" x14ac:dyDescent="0.25">
      <c r="A255" t="s">
        <v>1612</v>
      </c>
      <c r="B255" s="55" t="s">
        <v>1613</v>
      </c>
      <c r="C255" s="59">
        <v>5.3</v>
      </c>
      <c r="D255" s="55" t="s">
        <v>29</v>
      </c>
      <c r="E255" s="55" t="s">
        <v>1526</v>
      </c>
      <c r="F255" s="60"/>
      <c r="G255" s="55" t="s">
        <v>1614</v>
      </c>
      <c r="H255" s="61">
        <v>20</v>
      </c>
      <c r="I255" s="62"/>
      <c r="J255" s="105">
        <v>3</v>
      </c>
      <c r="K255" s="12" t="s">
        <v>1615</v>
      </c>
      <c r="L255" s="33" t="s">
        <v>553</v>
      </c>
      <c r="M255" s="26"/>
      <c r="N255" s="26" t="s">
        <v>107</v>
      </c>
      <c r="O255" s="26" t="s">
        <v>509</v>
      </c>
      <c r="P255" s="26" t="s">
        <v>737</v>
      </c>
      <c r="Q255" s="26" t="s">
        <v>698</v>
      </c>
      <c r="R255" s="26" t="s">
        <v>42</v>
      </c>
      <c r="S255" s="26" t="s">
        <v>370</v>
      </c>
      <c r="T255" s="26" t="s">
        <v>473</v>
      </c>
    </row>
    <row r="256" spans="1:38" s="16" customFormat="1" x14ac:dyDescent="0.25">
      <c r="A256" t="s">
        <v>1616</v>
      </c>
      <c r="B256" s="55" t="s">
        <v>1617</v>
      </c>
      <c r="C256" s="59"/>
      <c r="D256" s="55" t="s">
        <v>29</v>
      </c>
      <c r="E256" s="55" t="s">
        <v>1526</v>
      </c>
      <c r="F256" s="60"/>
      <c r="G256" s="55" t="s">
        <v>1618</v>
      </c>
      <c r="H256" s="61">
        <v>10</v>
      </c>
      <c r="I256" s="62"/>
      <c r="J256" s="105">
        <v>1</v>
      </c>
      <c r="K256" s="12" t="s">
        <v>1449</v>
      </c>
      <c r="L256" s="33" t="s">
        <v>346</v>
      </c>
      <c r="M256" s="26" t="s">
        <v>1205</v>
      </c>
      <c r="N256" s="26" t="s">
        <v>426</v>
      </c>
      <c r="O256" s="26"/>
      <c r="P256" s="26" t="s">
        <v>267</v>
      </c>
      <c r="Q256" s="26" t="s">
        <v>1619</v>
      </c>
      <c r="R256" s="26" t="s">
        <v>473</v>
      </c>
      <c r="S256" s="26" t="s">
        <v>64</v>
      </c>
      <c r="T256" s="26" t="s">
        <v>283</v>
      </c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spans="1:20" x14ac:dyDescent="0.25">
      <c r="A257" t="s">
        <v>1620</v>
      </c>
      <c r="B257" s="6" t="s">
        <v>1621</v>
      </c>
      <c r="C257" s="7">
        <v>4.2</v>
      </c>
      <c r="D257" s="6" t="s">
        <v>29</v>
      </c>
      <c r="E257" s="74" t="s">
        <v>1526</v>
      </c>
      <c r="F257" s="75"/>
      <c r="G257" s="6" t="s">
        <v>1622</v>
      </c>
      <c r="H257" s="50">
        <v>10</v>
      </c>
      <c r="I257" s="10"/>
      <c r="J257" s="51">
        <v>2</v>
      </c>
      <c r="K257" s="52" t="s">
        <v>1623</v>
      </c>
      <c r="L257" s="8"/>
      <c r="M257" s="49" t="s">
        <v>1212</v>
      </c>
      <c r="N257" s="49" t="s">
        <v>107</v>
      </c>
      <c r="O257" s="49" t="s">
        <v>1624</v>
      </c>
      <c r="P257" s="6" t="s">
        <v>1625</v>
      </c>
      <c r="Q257" s="6" t="s">
        <v>805</v>
      </c>
      <c r="R257" s="6" t="s">
        <v>1626</v>
      </c>
      <c r="S257" s="6" t="s">
        <v>46</v>
      </c>
      <c r="T257" s="6" t="s">
        <v>1303</v>
      </c>
    </row>
    <row r="258" spans="2:20" x14ac:dyDescent="0.25">
      <c r="B258" s="26" t="s">
        <v>1627</v>
      </c>
      <c r="C258" s="27"/>
      <c r="D258" s="26" t="s">
        <v>29</v>
      </c>
      <c r="E258" s="29" t="s">
        <v>1526</v>
      </c>
      <c r="F258" s="30"/>
      <c r="G258" s="17" t="s">
        <v>1628</v>
      </c>
      <c r="H258" s="22">
        <v>10</v>
      </c>
      <c r="I258" s="23"/>
      <c r="J258" s="15">
        <v>0</v>
      </c>
      <c r="K258" s="12" t="s">
        <v>1629</v>
      </c>
      <c r="L258" s="33" t="s">
        <v>509</v>
      </c>
      <c r="M258" s="26" t="s">
        <v>1223</v>
      </c>
      <c r="N258" s="26"/>
      <c r="O258" s="26"/>
      <c r="P258" s="26"/>
      <c r="Q258" s="26"/>
      <c r="R258" s="26"/>
      <c r="S258" s="26"/>
      <c r="T258" s="26"/>
    </row>
    <row r="259" spans="1:38" s="16" customFormat="1" x14ac:dyDescent="0.25">
      <c r="A259" s="4"/>
      <c r="B259" s="26" t="s">
        <v>1630</v>
      </c>
      <c r="C259" s="27"/>
      <c r="D259" s="26" t="s">
        <v>29</v>
      </c>
      <c r="E259" s="29" t="s">
        <v>1526</v>
      </c>
      <c r="F259" s="30"/>
      <c r="G259" s="26" t="s">
        <v>1631</v>
      </c>
      <c r="H259" s="31">
        <v>10</v>
      </c>
      <c r="I259" s="32"/>
      <c r="J259" s="11">
        <v>0</v>
      </c>
      <c r="K259" s="34" t="s">
        <v>1632</v>
      </c>
      <c r="L259" s="33" t="s">
        <v>1633</v>
      </c>
      <c r="M259" s="26" t="s">
        <v>647</v>
      </c>
      <c r="N259" s="26" t="s">
        <v>582</v>
      </c>
      <c r="O259" s="26" t="s">
        <v>1039</v>
      </c>
      <c r="P259" s="26" t="s">
        <v>454</v>
      </c>
      <c r="Q259" s="26" t="s">
        <v>42</v>
      </c>
      <c r="R259" s="26" t="s">
        <v>1303</v>
      </c>
      <c r="S259" s="26" t="s">
        <v>1634</v>
      </c>
      <c r="T259" s="26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spans="2:20" x14ac:dyDescent="0.25">
      <c r="B260" s="42" t="s">
        <v>1635</v>
      </c>
      <c r="C260" s="43"/>
      <c r="D260" s="124" t="s">
        <v>29</v>
      </c>
      <c r="E260" s="106" t="s">
        <v>1526</v>
      </c>
      <c r="F260" s="87"/>
      <c r="G260" s="42" t="s">
        <v>1636</v>
      </c>
      <c r="H260" s="45">
        <v>20</v>
      </c>
      <c r="I260" s="46" t="s">
        <v>945</v>
      </c>
      <c r="J260" s="47">
        <v>0</v>
      </c>
      <c r="K260" s="109" t="s">
        <v>1637</v>
      </c>
      <c r="L260" s="44" t="s">
        <v>395</v>
      </c>
      <c r="M260" s="42"/>
      <c r="N260" s="42"/>
      <c r="O260" s="42"/>
      <c r="P260" s="42"/>
      <c r="Q260" s="42"/>
      <c r="R260" s="42"/>
      <c r="S260" s="42"/>
      <c r="T260" s="42"/>
    </row>
    <row r="261" spans="2:20" x14ac:dyDescent="0.25">
      <c r="B261" s="42" t="s">
        <v>1638</v>
      </c>
      <c r="C261" s="43"/>
      <c r="D261" s="124" t="s">
        <v>29</v>
      </c>
      <c r="E261" s="106" t="s">
        <v>1526</v>
      </c>
      <c r="F261" s="87"/>
      <c r="G261" s="42" t="s">
        <v>1639</v>
      </c>
      <c r="H261" s="45">
        <v>20</v>
      </c>
      <c r="I261" s="46" t="s">
        <v>945</v>
      </c>
      <c r="J261" s="47">
        <v>0</v>
      </c>
      <c r="K261" s="34" t="s">
        <v>1640</v>
      </c>
      <c r="L261" s="75"/>
      <c r="M261" s="6"/>
      <c r="N261" s="6"/>
      <c r="O261" s="6"/>
      <c r="P261" s="6"/>
      <c r="Q261" s="6"/>
      <c r="R261" s="6"/>
      <c r="S261" s="6"/>
      <c r="T261" s="6"/>
    </row>
    <row r="262" spans="2:20" x14ac:dyDescent="0.25">
      <c r="B262" s="42" t="s">
        <v>1641</v>
      </c>
      <c r="C262" s="43"/>
      <c r="D262" s="124" t="s">
        <v>29</v>
      </c>
      <c r="E262" s="106" t="s">
        <v>1526</v>
      </c>
      <c r="F262" s="87"/>
      <c r="G262" s="42" t="s">
        <v>1642</v>
      </c>
      <c r="H262" s="45">
        <v>20</v>
      </c>
      <c r="I262" s="46" t="s">
        <v>945</v>
      </c>
      <c r="J262" s="47">
        <v>0</v>
      </c>
      <c r="K262" s="109" t="s">
        <v>1643</v>
      </c>
      <c r="L262" s="44" t="s">
        <v>507</v>
      </c>
      <c r="M262" s="42" t="s">
        <v>507</v>
      </c>
      <c r="N262" s="42"/>
      <c r="O262" s="42"/>
      <c r="P262" s="42"/>
      <c r="Q262" s="42"/>
      <c r="R262" s="42"/>
      <c r="S262" s="42"/>
      <c r="T262" s="42"/>
    </row>
    <row r="263" spans="2:20" x14ac:dyDescent="0.25">
      <c r="B263" s="42" t="s">
        <v>1644</v>
      </c>
      <c r="C263" s="43"/>
      <c r="D263" s="124" t="s">
        <v>29</v>
      </c>
      <c r="E263" s="106" t="s">
        <v>1526</v>
      </c>
      <c r="F263" s="87"/>
      <c r="G263" s="42" t="s">
        <v>1645</v>
      </c>
      <c r="H263" s="45">
        <v>25</v>
      </c>
      <c r="I263" s="46" t="s">
        <v>945</v>
      </c>
      <c r="J263" s="47">
        <v>0</v>
      </c>
      <c r="K263" s="109" t="s">
        <v>1646</v>
      </c>
      <c r="L263" s="87" t="s">
        <v>1633</v>
      </c>
      <c r="M263" s="42" t="s">
        <v>1647</v>
      </c>
      <c r="N263" s="42" t="s">
        <v>1648</v>
      </c>
      <c r="O263" s="42"/>
      <c r="P263" s="42"/>
      <c r="Q263" s="42"/>
      <c r="R263" s="42"/>
      <c r="S263" s="42"/>
      <c r="T263" s="42"/>
    </row>
    <row r="264" spans="2:20" x14ac:dyDescent="0.25">
      <c r="B264" s="107" t="s">
        <v>1649</v>
      </c>
      <c r="C264" s="108"/>
      <c r="D264" s="42" t="s">
        <v>29</v>
      </c>
      <c r="E264" s="42" t="s">
        <v>1526</v>
      </c>
      <c r="F264" s="44"/>
      <c r="G264" s="42" t="s">
        <v>1650</v>
      </c>
      <c r="H264" s="45">
        <v>6</v>
      </c>
      <c r="I264" s="46" t="s">
        <v>945</v>
      </c>
      <c r="J264" s="47">
        <v>0</v>
      </c>
      <c r="K264" s="109" t="s">
        <v>1569</v>
      </c>
      <c r="L264" s="44" t="s">
        <v>1651</v>
      </c>
      <c r="M264" s="124" t="s">
        <v>1652</v>
      </c>
      <c r="N264" s="42"/>
      <c r="O264" s="42"/>
      <c r="P264" s="42"/>
      <c r="Q264" s="42"/>
      <c r="R264" s="42"/>
      <c r="S264" s="42"/>
      <c r="T264" s="42"/>
    </row>
    <row r="265" spans="2:20" x14ac:dyDescent="0.25">
      <c r="B265" s="28" t="s">
        <v>1653</v>
      </c>
      <c r="C265" s="27"/>
      <c r="D265" s="26" t="s">
        <v>29</v>
      </c>
      <c r="E265" s="26" t="s">
        <v>1526</v>
      </c>
      <c r="F265" s="33"/>
      <c r="G265" s="26" t="s">
        <v>1654</v>
      </c>
      <c r="H265" s="31">
        <v>12</v>
      </c>
      <c r="I265" s="32"/>
      <c r="J265" s="15">
        <v>0</v>
      </c>
      <c r="K265" s="12" t="s">
        <v>1655</v>
      </c>
      <c r="L265" s="33" t="s">
        <v>1656</v>
      </c>
      <c r="M265" s="26" t="s">
        <v>1657</v>
      </c>
      <c r="N265" s="26"/>
      <c r="O265" s="26"/>
      <c r="P265" s="26"/>
      <c r="Q265" s="26"/>
      <c r="R265" s="26"/>
      <c r="S265" s="26"/>
      <c r="T265" s="26"/>
    </row>
    <row r="266" spans="2:20" x14ac:dyDescent="0.25">
      <c r="B266" s="28" t="s">
        <v>1658</v>
      </c>
      <c r="C266" s="27"/>
      <c r="D266" s="26" t="s">
        <v>29</v>
      </c>
      <c r="E266" s="26" t="s">
        <v>1526</v>
      </c>
      <c r="F266" s="33"/>
      <c r="G266" s="26" t="s">
        <v>1659</v>
      </c>
      <c r="H266" s="31">
        <v>5</v>
      </c>
      <c r="I266" s="32"/>
      <c r="J266" s="15">
        <v>0</v>
      </c>
      <c r="K266" s="12" t="s">
        <v>1660</v>
      </c>
      <c r="L266" s="33" t="s">
        <v>1661</v>
      </c>
      <c r="M266" s="26" t="s">
        <v>1662</v>
      </c>
      <c r="N266" s="26"/>
      <c r="O266" s="26"/>
      <c r="P266" s="26"/>
      <c r="Q266" s="26"/>
      <c r="R266" s="26"/>
      <c r="S266" s="26"/>
      <c r="T266" s="26"/>
    </row>
    <row r="267" spans="1:20" x14ac:dyDescent="0.25">
      <c r="A267" t="s">
        <v>1663</v>
      </c>
      <c r="B267" s="13" t="s">
        <v>1664</v>
      </c>
      <c r="C267" s="7" t="s">
        <v>1665</v>
      </c>
      <c r="D267" s="6" t="s">
        <v>29</v>
      </c>
      <c r="E267" s="6" t="s">
        <v>1526</v>
      </c>
      <c r="F267" s="8"/>
      <c r="G267" s="6" t="s">
        <v>1666</v>
      </c>
      <c r="H267" s="50">
        <v>10</v>
      </c>
      <c r="I267" s="10"/>
      <c r="J267" s="51">
        <v>1</v>
      </c>
      <c r="K267" s="52" t="s">
        <v>1667</v>
      </c>
      <c r="L267" s="8" t="s">
        <v>1668</v>
      </c>
      <c r="M267" s="6" t="s">
        <v>1039</v>
      </c>
      <c r="N267" s="6" t="s">
        <v>1015</v>
      </c>
      <c r="O267" s="6"/>
      <c r="P267" s="6"/>
      <c r="Q267" s="6"/>
      <c r="R267" s="6"/>
      <c r="S267" s="6"/>
      <c r="T267" s="6"/>
    </row>
    <row r="268" spans="2:20" x14ac:dyDescent="0.25">
      <c r="B268" s="28" t="s">
        <v>1669</v>
      </c>
      <c r="C268" s="35">
        <v>3</v>
      </c>
      <c r="D268" s="26" t="s">
        <v>29</v>
      </c>
      <c r="E268" s="26" t="s">
        <v>1526</v>
      </c>
      <c r="F268" s="33"/>
      <c r="G268" s="17" t="s">
        <v>1670</v>
      </c>
      <c r="H268" s="22">
        <v>10</v>
      </c>
      <c r="I268" s="23" t="s">
        <v>1671</v>
      </c>
      <c r="J268" s="15">
        <v>0</v>
      </c>
      <c r="K268" s="154" t="s">
        <v>1672</v>
      </c>
      <c r="L268" s="8"/>
      <c r="M268" s="26" t="s">
        <v>697</v>
      </c>
      <c r="N268" s="6" t="s">
        <v>1673</v>
      </c>
      <c r="O268" s="6" t="s">
        <v>238</v>
      </c>
      <c r="P268" s="6" t="s">
        <v>1554</v>
      </c>
      <c r="Q268" s="6" t="s">
        <v>616</v>
      </c>
      <c r="R268" s="6" t="s">
        <v>1674</v>
      </c>
      <c r="S268" s="6" t="s">
        <v>1675</v>
      </c>
      <c r="T268" s="6" t="s">
        <v>1387</v>
      </c>
    </row>
    <row r="269" spans="1:20" x14ac:dyDescent="0.25">
      <c r="A269" t="s">
        <v>1676</v>
      </c>
      <c r="B269" s="13" t="s">
        <v>1677</v>
      </c>
      <c r="C269" s="7">
        <v>7.2</v>
      </c>
      <c r="D269" s="6" t="s">
        <v>5</v>
      </c>
      <c r="E269" s="6" t="s">
        <v>1526</v>
      </c>
      <c r="F269" s="155"/>
      <c r="G269" s="156" t="s">
        <v>1678</v>
      </c>
      <c r="H269" s="50">
        <v>24</v>
      </c>
      <c r="I269" s="10" t="s">
        <v>559</v>
      </c>
      <c r="J269" s="51">
        <v>1</v>
      </c>
      <c r="K269" s="52" t="s">
        <v>1679</v>
      </c>
      <c r="L269" s="8" t="s">
        <v>1680</v>
      </c>
      <c r="M269" s="6" t="s">
        <v>106</v>
      </c>
      <c r="N269" s="6" t="s">
        <v>1681</v>
      </c>
      <c r="O269" s="6" t="s">
        <v>295</v>
      </c>
      <c r="P269" s="6" t="s">
        <v>64</v>
      </c>
      <c r="Q269" s="6"/>
      <c r="R269" s="6"/>
      <c r="S269" s="6"/>
      <c r="T269" s="6"/>
    </row>
    <row r="270" spans="1:20" x14ac:dyDescent="0.25">
      <c r="A270" t="s">
        <v>1682</v>
      </c>
      <c r="B270" s="28" t="s">
        <v>1683</v>
      </c>
      <c r="C270" s="35">
        <v>9.5</v>
      </c>
      <c r="D270" s="26"/>
      <c r="E270" s="26" t="s">
        <v>1526</v>
      </c>
      <c r="F270" s="33"/>
      <c r="G270" s="26" t="s">
        <v>1684</v>
      </c>
      <c r="H270" s="31">
        <v>24</v>
      </c>
      <c r="I270" s="32"/>
      <c r="J270" s="11">
        <v>1</v>
      </c>
      <c r="K270" s="154" t="s">
        <v>1685</v>
      </c>
      <c r="L270" s="8"/>
      <c r="M270" s="26" t="s">
        <v>1686</v>
      </c>
      <c r="N270" s="6" t="s">
        <v>1687</v>
      </c>
      <c r="O270" s="6" t="s">
        <v>627</v>
      </c>
      <c r="P270" s="6" t="s">
        <v>734</v>
      </c>
      <c r="Q270" s="6" t="s">
        <v>234</v>
      </c>
      <c r="R270" s="6" t="s">
        <v>436</v>
      </c>
      <c r="S270" s="6" t="s">
        <v>250</v>
      </c>
      <c r="T270" s="6" t="s">
        <v>213</v>
      </c>
    </row>
    <row r="271" spans="2:20" x14ac:dyDescent="0.25">
      <c r="B271" s="28" t="s">
        <v>1688</v>
      </c>
      <c r="C271" s="35">
        <v>3</v>
      </c>
      <c r="D271" s="26" t="s">
        <v>29</v>
      </c>
      <c r="E271" s="26" t="s">
        <v>1526</v>
      </c>
      <c r="F271" s="33"/>
      <c r="G271" s="17" t="s">
        <v>1689</v>
      </c>
      <c r="H271" s="22">
        <v>10</v>
      </c>
      <c r="I271" s="23" t="s">
        <v>1690</v>
      </c>
      <c r="J271" s="15">
        <v>0</v>
      </c>
      <c r="K271" s="12" t="s">
        <v>1691</v>
      </c>
      <c r="L271" s="33" t="s">
        <v>1337</v>
      </c>
      <c r="M271" s="26" t="s">
        <v>616</v>
      </c>
      <c r="N271" s="26" t="s">
        <v>698</v>
      </c>
      <c r="O271" s="26"/>
      <c r="P271" s="26" t="s">
        <v>1692</v>
      </c>
      <c r="Q271" s="26" t="s">
        <v>697</v>
      </c>
      <c r="R271" s="26" t="s">
        <v>323</v>
      </c>
      <c r="S271" s="26" t="s">
        <v>141</v>
      </c>
      <c r="T271" s="26" t="s">
        <v>1065</v>
      </c>
    </row>
    <row r="272" spans="1:20" x14ac:dyDescent="0.25">
      <c r="A272" t="s">
        <v>1693</v>
      </c>
      <c r="B272" s="13" t="s">
        <v>1694</v>
      </c>
      <c r="C272" s="7"/>
      <c r="D272" s="6" t="s">
        <v>29</v>
      </c>
      <c r="E272" s="6" t="s">
        <v>1526</v>
      </c>
      <c r="F272" s="8"/>
      <c r="G272" s="6" t="s">
        <v>1695</v>
      </c>
      <c r="H272" s="50">
        <v>12</v>
      </c>
      <c r="I272" s="10"/>
      <c r="J272" s="51">
        <v>1</v>
      </c>
      <c r="K272" s="52" t="s">
        <v>1667</v>
      </c>
      <c r="L272" s="8" t="s">
        <v>1696</v>
      </c>
      <c r="M272" s="6" t="s">
        <v>1697</v>
      </c>
      <c r="N272" s="6" t="s">
        <v>1349</v>
      </c>
      <c r="O272" s="6" t="s">
        <v>509</v>
      </c>
      <c r="P272" s="6"/>
      <c r="Q272" s="6"/>
      <c r="R272" s="6"/>
      <c r="S272" s="6"/>
      <c r="T272" s="6"/>
    </row>
    <row r="273" spans="2:20" x14ac:dyDescent="0.25">
      <c r="B273" s="28" t="s">
        <v>1698</v>
      </c>
      <c r="C273" s="27"/>
      <c r="D273" s="26" t="s">
        <v>29</v>
      </c>
      <c r="E273" s="26" t="s">
        <v>1526</v>
      </c>
      <c r="F273" s="33"/>
      <c r="G273" s="26" t="s">
        <v>1699</v>
      </c>
      <c r="H273" s="31">
        <v>5</v>
      </c>
      <c r="I273" s="32"/>
      <c r="J273" s="15">
        <v>0</v>
      </c>
      <c r="K273" s="12" t="s">
        <v>1660</v>
      </c>
      <c r="L273" s="33" t="s">
        <v>1700</v>
      </c>
      <c r="M273" s="26" t="s">
        <v>1701</v>
      </c>
      <c r="N273" s="26"/>
      <c r="O273" s="26"/>
      <c r="P273" s="26"/>
      <c r="Q273" s="26"/>
      <c r="R273" s="26"/>
      <c r="S273" s="26"/>
      <c r="T273" s="26"/>
    </row>
    <row r="274" spans="2:20" x14ac:dyDescent="0.25">
      <c r="B274" s="28"/>
      <c r="C274" s="27"/>
      <c r="D274" s="26" t="s">
        <v>29</v>
      </c>
      <c r="E274" s="26" t="s">
        <v>1526</v>
      </c>
      <c r="F274" s="33"/>
      <c r="G274" s="26" t="s">
        <v>1702</v>
      </c>
      <c r="H274" s="31">
        <v>5</v>
      </c>
      <c r="I274" s="32"/>
      <c r="J274" s="11">
        <v>1</v>
      </c>
      <c r="K274" s="12" t="s">
        <v>1703</v>
      </c>
      <c r="L274" s="8" t="s">
        <v>1704</v>
      </c>
      <c r="M274" s="6" t="s">
        <v>1493</v>
      </c>
      <c r="N274" s="6"/>
      <c r="O274" s="6"/>
      <c r="P274" s="6"/>
      <c r="Q274" s="6"/>
      <c r="R274" s="6"/>
      <c r="S274" s="6"/>
      <c r="T274" s="6"/>
    </row>
    <row r="275" spans="1:20" x14ac:dyDescent="0.25">
      <c r="A275" s="40"/>
      <c r="B275" s="28" t="s">
        <v>1705</v>
      </c>
      <c r="C275" s="27"/>
      <c r="D275" s="26" t="s">
        <v>29</v>
      </c>
      <c r="E275" s="26" t="s">
        <v>1526</v>
      </c>
      <c r="F275" s="33"/>
      <c r="G275" s="26" t="s">
        <v>1706</v>
      </c>
      <c r="H275" s="31">
        <v>6</v>
      </c>
      <c r="I275" s="32"/>
      <c r="J275" s="15">
        <v>0</v>
      </c>
      <c r="K275" s="12" t="s">
        <v>1707</v>
      </c>
      <c r="L275" s="33"/>
      <c r="M275" s="26"/>
      <c r="N275" s="26"/>
      <c r="O275" s="26"/>
      <c r="P275" s="26"/>
      <c r="Q275" s="26"/>
      <c r="R275" s="26"/>
      <c r="S275" s="26"/>
      <c r="T275" s="26"/>
    </row>
    <row r="276" spans="1:20" s="14" customFormat="1" x14ac:dyDescent="0.25">
      <c r="A276" t="s">
        <v>1708</v>
      </c>
      <c r="B276" s="28" t="s">
        <v>1709</v>
      </c>
      <c r="C276" s="27"/>
      <c r="D276" s="26" t="s">
        <v>29</v>
      </c>
      <c r="E276" s="26" t="s">
        <v>1526</v>
      </c>
      <c r="F276" s="33"/>
      <c r="G276" s="26" t="s">
        <v>1710</v>
      </c>
      <c r="H276" s="31">
        <v>25</v>
      </c>
      <c r="I276" s="32"/>
      <c r="J276" s="11">
        <v>1</v>
      </c>
      <c r="K276" s="154" t="s">
        <v>1711</v>
      </c>
      <c r="L276" s="8" t="s">
        <v>1166</v>
      </c>
      <c r="M276" s="26" t="s">
        <v>1097</v>
      </c>
      <c r="N276" s="6" t="s">
        <v>432</v>
      </c>
      <c r="O276" s="6"/>
      <c r="P276" s="6"/>
      <c r="Q276" s="6"/>
      <c r="R276" s="6"/>
      <c r="S276" s="6"/>
      <c r="T276" s="6"/>
    </row>
    <row r="277" spans="2:38" s="40" customFormat="1" x14ac:dyDescent="0.25">
      <c r="B277" s="42" t="s">
        <v>1712</v>
      </c>
      <c r="C277" s="43"/>
      <c r="D277" s="42" t="s">
        <v>29</v>
      </c>
      <c r="E277" s="42" t="s">
        <v>1526</v>
      </c>
      <c r="F277" s="44"/>
      <c r="G277" s="42" t="s">
        <v>1713</v>
      </c>
      <c r="H277" s="57">
        <v>5</v>
      </c>
      <c r="I277" s="46"/>
      <c r="J277" s="47">
        <v>0</v>
      </c>
      <c r="K277" s="48" t="s">
        <v>1714</v>
      </c>
      <c r="L277" s="44" t="s">
        <v>1715</v>
      </c>
      <c r="M277" s="42" t="s">
        <v>1716</v>
      </c>
      <c r="N277" s="42" t="s">
        <v>1593</v>
      </c>
      <c r="O277" s="42" t="s">
        <v>919</v>
      </c>
      <c r="P277" s="42" t="s">
        <v>1717</v>
      </c>
      <c r="Q277" s="42" t="s">
        <v>1718</v>
      </c>
      <c r="R277" s="42" t="s">
        <v>1719</v>
      </c>
      <c r="S277" s="42" t="s">
        <v>508</v>
      </c>
      <c r="T277" s="42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spans="1:20" x14ac:dyDescent="0.25">
      <c r="A278" s="40"/>
      <c r="B278" s="42" t="s">
        <v>1720</v>
      </c>
      <c r="C278" s="43"/>
      <c r="D278" s="42" t="s">
        <v>29</v>
      </c>
      <c r="E278" s="42" t="s">
        <v>1526</v>
      </c>
      <c r="F278" s="44"/>
      <c r="G278" s="42" t="s">
        <v>1721</v>
      </c>
      <c r="H278" s="57">
        <v>5</v>
      </c>
      <c r="I278" s="46" t="s">
        <v>1722</v>
      </c>
      <c r="J278" s="47">
        <v>0</v>
      </c>
      <c r="K278" s="48" t="s">
        <v>1723</v>
      </c>
      <c r="L278" s="44" t="s">
        <v>140</v>
      </c>
      <c r="M278" s="42" t="s">
        <v>547</v>
      </c>
      <c r="N278" s="42" t="s">
        <v>625</v>
      </c>
      <c r="O278" s="42" t="s">
        <v>1443</v>
      </c>
      <c r="P278" s="42" t="s">
        <v>934</v>
      </c>
      <c r="Q278" s="42" t="s">
        <v>537</v>
      </c>
      <c r="R278" s="42" t="s">
        <v>1724</v>
      </c>
      <c r="S278" s="42"/>
      <c r="T278" s="42" t="s">
        <v>1725</v>
      </c>
    </row>
    <row r="279" spans="1:38" s="40" customFormat="1" x14ac:dyDescent="0.25">
      <c r="A279" s="4" t="s">
        <v>1726</v>
      </c>
      <c r="B279" s="122" t="s">
        <v>1727</v>
      </c>
      <c r="C279" s="123">
        <v>10.8</v>
      </c>
      <c r="D279" s="26" t="s">
        <v>29</v>
      </c>
      <c r="E279" s="26" t="s">
        <v>1526</v>
      </c>
      <c r="F279" s="33"/>
      <c r="G279" s="26" t="s">
        <v>1728</v>
      </c>
      <c r="H279" s="31">
        <v>25</v>
      </c>
      <c r="I279" s="32"/>
      <c r="J279" s="11">
        <v>6</v>
      </c>
      <c r="K279" s="12" t="s">
        <v>412</v>
      </c>
      <c r="L279" s="33" t="s">
        <v>292</v>
      </c>
      <c r="M279" s="26"/>
      <c r="N279" s="26"/>
      <c r="O279" s="26"/>
      <c r="P279" s="26"/>
      <c r="Q279" s="26"/>
      <c r="R279" s="26"/>
      <c r="S279" s="26"/>
      <c r="T279" s="26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spans="2:38" s="40" customFormat="1" x14ac:dyDescent="0.25">
      <c r="B280" s="107" t="s">
        <v>1729</v>
      </c>
      <c r="C280" s="108"/>
      <c r="D280" s="42" t="s">
        <v>29</v>
      </c>
      <c r="E280" s="42" t="s">
        <v>1526</v>
      </c>
      <c r="F280" s="44"/>
      <c r="G280" s="42" t="s">
        <v>1730</v>
      </c>
      <c r="H280" s="45">
        <v>5</v>
      </c>
      <c r="I280" s="46" t="s">
        <v>1731</v>
      </c>
      <c r="J280" s="47">
        <v>0</v>
      </c>
      <c r="K280" s="48" t="s">
        <v>1732</v>
      </c>
      <c r="L280" s="44" t="s">
        <v>1733</v>
      </c>
      <c r="M280" s="42" t="s">
        <v>703</v>
      </c>
      <c r="N280" s="42" t="s">
        <v>1734</v>
      </c>
      <c r="O280" s="42"/>
      <c r="P280" s="42"/>
      <c r="Q280" s="42"/>
      <c r="R280" s="42"/>
      <c r="S280" s="42"/>
      <c r="T280" s="42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spans="1:20" x14ac:dyDescent="0.25">
      <c r="A281">
        <v>8757420046400</v>
      </c>
      <c r="B281" s="150" t="s">
        <v>1735</v>
      </c>
      <c r="C281" s="151">
        <v>3</v>
      </c>
      <c r="D281" s="6" t="s">
        <v>29</v>
      </c>
      <c r="E281" s="6" t="s">
        <v>1526</v>
      </c>
      <c r="F281" s="8" t="s">
        <v>1736</v>
      </c>
      <c r="G281" s="6" t="s">
        <v>1737</v>
      </c>
      <c r="H281" s="50">
        <v>10</v>
      </c>
      <c r="I281" s="10" t="s">
        <v>1738</v>
      </c>
      <c r="J281" s="51">
        <v>2</v>
      </c>
      <c r="K281" s="114" t="s">
        <v>574</v>
      </c>
      <c r="L281" s="157" t="s">
        <v>258</v>
      </c>
      <c r="M281" s="6" t="s">
        <v>75</v>
      </c>
      <c r="N281" s="9" t="s">
        <v>1531</v>
      </c>
      <c r="O281" s="6"/>
      <c r="P281" s="6" t="s">
        <v>1739</v>
      </c>
      <c r="Q281" s="6" t="s">
        <v>1323</v>
      </c>
      <c r="R281" s="6" t="s">
        <v>474</v>
      </c>
      <c r="S281" s="6" t="s">
        <v>583</v>
      </c>
      <c r="T281" s="6" t="s">
        <v>193</v>
      </c>
    </row>
    <row r="282" spans="1:38" s="40" customFormat="1" x14ac:dyDescent="0.25">
      <c r="A282" s="4"/>
      <c r="B282" s="158" t="s">
        <v>1740</v>
      </c>
      <c r="C282" s="77">
        <v>6.6</v>
      </c>
      <c r="D282" s="26" t="s">
        <v>29</v>
      </c>
      <c r="E282" s="26" t="s">
        <v>1526</v>
      </c>
      <c r="F282" s="33"/>
      <c r="G282" s="26" t="s">
        <v>1741</v>
      </c>
      <c r="H282" s="31">
        <v>25</v>
      </c>
      <c r="I282" s="32"/>
      <c r="J282" s="11">
        <v>2</v>
      </c>
      <c r="K282" s="34" t="s">
        <v>211</v>
      </c>
      <c r="L282" s="33" t="s">
        <v>743</v>
      </c>
      <c r="M282" s="26" t="s">
        <v>1391</v>
      </c>
      <c r="N282" s="26" t="s">
        <v>723</v>
      </c>
      <c r="O282" s="26" t="s">
        <v>1321</v>
      </c>
      <c r="P282" s="26" t="s">
        <v>1205</v>
      </c>
      <c r="Q282" s="26" t="s">
        <v>148</v>
      </c>
      <c r="R282" s="26"/>
      <c r="S282" s="26"/>
      <c r="T282" s="26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spans="1:20" x14ac:dyDescent="0.25">
      <c r="A283" t="s">
        <v>1742</v>
      </c>
      <c r="B283" s="150" t="s">
        <v>1743</v>
      </c>
      <c r="C283" s="151">
        <v>3</v>
      </c>
      <c r="D283" s="6" t="s">
        <v>29</v>
      </c>
      <c r="E283" s="6" t="s">
        <v>1526</v>
      </c>
      <c r="F283" s="8" t="s">
        <v>1736</v>
      </c>
      <c r="G283" s="49" t="s">
        <v>1744</v>
      </c>
      <c r="H283" s="112">
        <v>10</v>
      </c>
      <c r="I283" s="10" t="s">
        <v>1745</v>
      </c>
      <c r="J283" s="39">
        <v>7</v>
      </c>
      <c r="K283" s="114" t="s">
        <v>1746</v>
      </c>
      <c r="L283" s="8" t="s">
        <v>673</v>
      </c>
      <c r="M283" s="6" t="s">
        <v>207</v>
      </c>
      <c r="N283" s="6" t="s">
        <v>1739</v>
      </c>
      <c r="O283" s="6" t="s">
        <v>1323</v>
      </c>
      <c r="P283" s="6" t="s">
        <v>193</v>
      </c>
      <c r="Q283" s="6" t="s">
        <v>75</v>
      </c>
      <c r="R283" s="6" t="s">
        <v>1531</v>
      </c>
      <c r="S283" s="6"/>
      <c r="T283" s="6" t="s">
        <v>1747</v>
      </c>
    </row>
    <row r="284" spans="1:38" s="40" customFormat="1" x14ac:dyDescent="0.25">
      <c r="A284" t="s">
        <v>1748</v>
      </c>
      <c r="B284" s="158" t="s">
        <v>1749</v>
      </c>
      <c r="C284" s="77">
        <v>7</v>
      </c>
      <c r="D284" s="26" t="s">
        <v>29</v>
      </c>
      <c r="E284" s="26" t="s">
        <v>1526</v>
      </c>
      <c r="F284" s="33"/>
      <c r="G284" s="26" t="s">
        <v>1750</v>
      </c>
      <c r="H284" s="31">
        <v>5</v>
      </c>
      <c r="I284" s="32" t="s">
        <v>1751</v>
      </c>
      <c r="J284" s="15">
        <v>0</v>
      </c>
      <c r="K284" s="34" t="s">
        <v>1752</v>
      </c>
      <c r="L284" s="33" t="s">
        <v>258</v>
      </c>
      <c r="M284" s="26"/>
      <c r="N284" s="26" t="s">
        <v>1753</v>
      </c>
      <c r="O284" s="26" t="s">
        <v>1185</v>
      </c>
      <c r="P284" s="26" t="s">
        <v>1260</v>
      </c>
      <c r="Q284" s="26" t="s">
        <v>627</v>
      </c>
      <c r="R284" s="26" t="s">
        <v>1754</v>
      </c>
      <c r="S284" s="26" t="s">
        <v>206</v>
      </c>
      <c r="T284" s="26" t="s">
        <v>806</v>
      </c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spans="2:20" s="40" customFormat="1" x14ac:dyDescent="0.25">
      <c r="B285" s="42" t="s">
        <v>1755</v>
      </c>
      <c r="C285" s="43"/>
      <c r="D285" s="42" t="s">
        <v>5</v>
      </c>
      <c r="E285" s="42" t="s">
        <v>1756</v>
      </c>
      <c r="F285" s="44"/>
      <c r="G285" s="85" t="s">
        <v>1757</v>
      </c>
      <c r="H285" s="45">
        <v>10</v>
      </c>
      <c r="I285" s="46"/>
      <c r="J285" s="47">
        <v>0</v>
      </c>
      <c r="K285" s="48" t="s">
        <v>569</v>
      </c>
      <c r="L285" s="44" t="s">
        <v>1071</v>
      </c>
      <c r="M285" s="42" t="s">
        <v>537</v>
      </c>
      <c r="N285" s="42" t="s">
        <v>784</v>
      </c>
      <c r="O285" s="42" t="s">
        <v>259</v>
      </c>
      <c r="P285" s="42"/>
      <c r="Q285" s="42"/>
      <c r="R285" s="42"/>
      <c r="S285" s="42"/>
      <c r="T285" s="42"/>
    </row>
    <row r="286" spans="1:20" x14ac:dyDescent="0.25">
      <c r="A286" t="s">
        <v>1758</v>
      </c>
      <c r="B286" s="26" t="s">
        <v>1759</v>
      </c>
      <c r="C286" s="27"/>
      <c r="D286" s="26" t="s">
        <v>1760</v>
      </c>
      <c r="E286" s="26" t="s">
        <v>1756</v>
      </c>
      <c r="F286" s="33"/>
      <c r="G286" s="76" t="s">
        <v>1761</v>
      </c>
      <c r="H286" s="31">
        <v>20</v>
      </c>
      <c r="I286" s="32" t="s">
        <v>1762</v>
      </c>
      <c r="J286" s="11">
        <v>2</v>
      </c>
      <c r="K286" s="12" t="s">
        <v>1763</v>
      </c>
      <c r="L286" s="33" t="s">
        <v>1764</v>
      </c>
      <c r="M286" s="26" t="s">
        <v>1765</v>
      </c>
      <c r="N286" s="26" t="s">
        <v>231</v>
      </c>
      <c r="O286" s="26"/>
      <c r="P286" s="26"/>
      <c r="Q286" s="26"/>
      <c r="R286" s="26"/>
      <c r="S286" s="26"/>
      <c r="T286" s="26"/>
    </row>
    <row r="287" spans="1:20" x14ac:dyDescent="0.25">
      <c r="A287" s="4" t="s">
        <v>1766</v>
      </c>
      <c r="B287" s="26" t="s">
        <v>1767</v>
      </c>
      <c r="C287" s="27"/>
      <c r="D287" s="26" t="s">
        <v>1760</v>
      </c>
      <c r="E287" s="26" t="s">
        <v>1756</v>
      </c>
      <c r="F287" s="33"/>
      <c r="G287" s="26" t="s">
        <v>1768</v>
      </c>
      <c r="H287" s="56">
        <v>13</v>
      </c>
      <c r="I287" s="32"/>
      <c r="J287" s="11">
        <v>21</v>
      </c>
      <c r="K287" s="12" t="s">
        <v>1769</v>
      </c>
      <c r="L287" s="33" t="s">
        <v>818</v>
      </c>
      <c r="M287" s="26" t="s">
        <v>141</v>
      </c>
      <c r="N287" s="26" t="s">
        <v>1770</v>
      </c>
      <c r="O287" s="26" t="s">
        <v>1771</v>
      </c>
      <c r="P287" s="26" t="s">
        <v>295</v>
      </c>
      <c r="Q287" s="26" t="s">
        <v>1772</v>
      </c>
      <c r="R287" s="26" t="s">
        <v>1773</v>
      </c>
      <c r="S287" s="26"/>
      <c r="T287" s="26" t="s">
        <v>1774</v>
      </c>
    </row>
    <row r="288" spans="1:20" x14ac:dyDescent="0.25">
      <c r="A288" s="4" t="s">
        <v>1775</v>
      </c>
      <c r="B288" s="26" t="s">
        <v>1776</v>
      </c>
      <c r="C288" s="27"/>
      <c r="D288" s="26" t="s">
        <v>1760</v>
      </c>
      <c r="E288" s="26" t="s">
        <v>1756</v>
      </c>
      <c r="F288" s="33"/>
      <c r="G288" s="26" t="s">
        <v>1777</v>
      </c>
      <c r="H288" s="56">
        <v>13</v>
      </c>
      <c r="I288" s="32"/>
      <c r="J288" s="11">
        <v>17</v>
      </c>
      <c r="K288" s="12" t="s">
        <v>1778</v>
      </c>
      <c r="L288" s="33" t="s">
        <v>1323</v>
      </c>
      <c r="M288" s="26" t="s">
        <v>583</v>
      </c>
      <c r="N288" s="26" t="s">
        <v>1779</v>
      </c>
      <c r="O288" s="26" t="s">
        <v>470</v>
      </c>
      <c r="P288" s="26" t="s">
        <v>404</v>
      </c>
      <c r="Q288" s="26" t="s">
        <v>426</v>
      </c>
      <c r="R288" s="26"/>
      <c r="S288" s="26" t="s">
        <v>66</v>
      </c>
      <c r="T288" s="26" t="s">
        <v>36</v>
      </c>
    </row>
    <row r="289" spans="1:20" x14ac:dyDescent="0.25">
      <c r="A289" s="40"/>
      <c r="B289" s="42" t="s">
        <v>1780</v>
      </c>
      <c r="C289" s="43"/>
      <c r="D289" s="42" t="s">
        <v>1760</v>
      </c>
      <c r="E289" s="42" t="s">
        <v>1756</v>
      </c>
      <c r="F289" s="44"/>
      <c r="G289" s="85" t="s">
        <v>1781</v>
      </c>
      <c r="H289" s="45">
        <v>7</v>
      </c>
      <c r="I289" s="46"/>
      <c r="J289" s="47">
        <v>0</v>
      </c>
      <c r="K289" s="48" t="s">
        <v>1782</v>
      </c>
      <c r="L289" s="44" t="s">
        <v>1783</v>
      </c>
      <c r="M289" s="42" t="s">
        <v>507</v>
      </c>
      <c r="N289" s="42" t="s">
        <v>582</v>
      </c>
      <c r="O289" s="42" t="s">
        <v>499</v>
      </c>
      <c r="P289" s="42" t="s">
        <v>295</v>
      </c>
      <c r="Q289" s="42"/>
      <c r="R289" s="42"/>
      <c r="S289" s="42"/>
      <c r="T289" s="42"/>
    </row>
    <row r="290" spans="1:20" x14ac:dyDescent="0.25">
      <c r="A290" s="40"/>
      <c r="B290" s="42" t="s">
        <v>1784</v>
      </c>
      <c r="C290" s="43"/>
      <c r="D290" s="42" t="s">
        <v>1760</v>
      </c>
      <c r="E290" s="42" t="s">
        <v>1756</v>
      </c>
      <c r="F290" s="44"/>
      <c r="G290" s="85" t="s">
        <v>1785</v>
      </c>
      <c r="H290" s="45">
        <v>7</v>
      </c>
      <c r="I290" s="46" t="s">
        <v>559</v>
      </c>
      <c r="J290" s="47">
        <v>0</v>
      </c>
      <c r="K290" s="48" t="s">
        <v>1786</v>
      </c>
      <c r="L290" s="44" t="s">
        <v>153</v>
      </c>
      <c r="M290" s="42" t="s">
        <v>1787</v>
      </c>
      <c r="N290" s="42" t="s">
        <v>1365</v>
      </c>
      <c r="O290" s="42" t="s">
        <v>737</v>
      </c>
      <c r="P290" s="42" t="s">
        <v>1788</v>
      </c>
      <c r="Q290" s="42" t="s">
        <v>1789</v>
      </c>
      <c r="R290" s="42"/>
      <c r="S290" s="42"/>
      <c r="T290" s="42"/>
    </row>
    <row r="291" spans="1:20" x14ac:dyDescent="0.25">
      <c r="A291" s="4" t="s">
        <v>1790</v>
      </c>
      <c r="B291" s="26" t="s">
        <v>1791</v>
      </c>
      <c r="C291" s="27"/>
      <c r="D291" s="26" t="s">
        <v>1760</v>
      </c>
      <c r="E291" s="26" t="s">
        <v>1756</v>
      </c>
      <c r="F291" s="33"/>
      <c r="G291" s="76" t="s">
        <v>1792</v>
      </c>
      <c r="H291" s="31">
        <v>7</v>
      </c>
      <c r="I291" s="32"/>
      <c r="J291" s="11">
        <v>22</v>
      </c>
      <c r="K291" s="12" t="s">
        <v>1769</v>
      </c>
      <c r="L291" s="33" t="s">
        <v>231</v>
      </c>
      <c r="M291" s="26" t="s">
        <v>1793</v>
      </c>
      <c r="N291" s="26"/>
      <c r="O291" s="26"/>
      <c r="P291" s="26"/>
      <c r="Q291" s="26"/>
      <c r="R291" s="26"/>
      <c r="S291" s="26"/>
      <c r="T291" s="26"/>
    </row>
    <row r="292" spans="1:20" x14ac:dyDescent="0.25">
      <c r="A292" t="s">
        <v>1794</v>
      </c>
      <c r="B292" s="26" t="s">
        <v>1795</v>
      </c>
      <c r="C292" s="27"/>
      <c r="D292" s="26" t="s">
        <v>1760</v>
      </c>
      <c r="E292" s="26" t="s">
        <v>1756</v>
      </c>
      <c r="F292" s="33"/>
      <c r="G292" s="76" t="s">
        <v>1796</v>
      </c>
      <c r="H292" s="31">
        <v>13</v>
      </c>
      <c r="I292" s="32"/>
      <c r="J292" s="11">
        <v>12</v>
      </c>
      <c r="K292" s="12" t="s">
        <v>1797</v>
      </c>
      <c r="L292" s="33" t="s">
        <v>693</v>
      </c>
      <c r="M292" s="26" t="s">
        <v>1798</v>
      </c>
      <c r="N292" s="26" t="s">
        <v>1799</v>
      </c>
      <c r="O292" s="26" t="s">
        <v>806</v>
      </c>
      <c r="P292" s="26"/>
      <c r="Q292" s="26"/>
      <c r="R292" s="26"/>
      <c r="S292" s="26"/>
      <c r="T292" s="26"/>
    </row>
    <row r="293" spans="1:20" x14ac:dyDescent="0.25">
      <c r="A293" t="s">
        <v>1800</v>
      </c>
      <c r="B293" s="26" t="s">
        <v>1801</v>
      </c>
      <c r="C293" s="27"/>
      <c r="D293" s="26" t="s">
        <v>1760</v>
      </c>
      <c r="E293" s="26" t="s">
        <v>1756</v>
      </c>
      <c r="F293" s="33"/>
      <c r="G293" s="26" t="s">
        <v>1802</v>
      </c>
      <c r="H293" s="31">
        <v>13</v>
      </c>
      <c r="I293" s="32"/>
      <c r="J293" s="11">
        <v>8</v>
      </c>
      <c r="K293" s="12" t="s">
        <v>1803</v>
      </c>
      <c r="L293" s="33" t="s">
        <v>900</v>
      </c>
      <c r="M293" s="26" t="s">
        <v>394</v>
      </c>
      <c r="N293" s="26" t="s">
        <v>496</v>
      </c>
      <c r="O293" s="26" t="s">
        <v>1804</v>
      </c>
      <c r="P293" s="26"/>
      <c r="Q293" s="26"/>
      <c r="R293" s="26"/>
      <c r="S293" s="26"/>
      <c r="T293" s="26"/>
    </row>
    <row r="294" spans="1:20" x14ac:dyDescent="0.25">
      <c r="A294" t="s">
        <v>1805</v>
      </c>
      <c r="B294" s="26" t="s">
        <v>1806</v>
      </c>
      <c r="C294" s="27"/>
      <c r="D294" s="26" t="s">
        <v>1760</v>
      </c>
      <c r="E294" s="26" t="s">
        <v>1756</v>
      </c>
      <c r="F294" s="33"/>
      <c r="G294" s="26" t="s">
        <v>1807</v>
      </c>
      <c r="H294" s="31">
        <v>13</v>
      </c>
      <c r="I294" s="32"/>
      <c r="J294" s="11">
        <v>32</v>
      </c>
      <c r="K294" s="12" t="s">
        <v>1808</v>
      </c>
      <c r="L294" s="33" t="s">
        <v>368</v>
      </c>
      <c r="M294" s="26" t="s">
        <v>613</v>
      </c>
      <c r="N294" s="26" t="s">
        <v>1809</v>
      </c>
      <c r="O294" s="26" t="s">
        <v>812</v>
      </c>
      <c r="P294" s="26"/>
      <c r="Q294" s="26" t="s">
        <v>1810</v>
      </c>
      <c r="R294" s="26" t="s">
        <v>728</v>
      </c>
      <c r="S294" s="26" t="s">
        <v>388</v>
      </c>
      <c r="T294" s="26" t="s">
        <v>428</v>
      </c>
    </row>
    <row r="295" spans="1:38" s="16" customFormat="1" x14ac:dyDescent="0.25">
      <c r="A295" t="s">
        <v>1811</v>
      </c>
      <c r="B295" s="26" t="s">
        <v>1812</v>
      </c>
      <c r="C295" s="27"/>
      <c r="D295" s="26" t="s">
        <v>1760</v>
      </c>
      <c r="E295" s="26" t="s">
        <v>1756</v>
      </c>
      <c r="F295" s="33"/>
      <c r="G295" s="26" t="s">
        <v>1813</v>
      </c>
      <c r="H295" s="31">
        <v>13</v>
      </c>
      <c r="I295" s="32"/>
      <c r="J295" s="11">
        <v>1</v>
      </c>
      <c r="K295" s="12" t="s">
        <v>1814</v>
      </c>
      <c r="L295" s="33" t="s">
        <v>1815</v>
      </c>
      <c r="M295" s="26" t="s">
        <v>1816</v>
      </c>
      <c r="N295" s="26" t="s">
        <v>497</v>
      </c>
      <c r="O295" s="26" t="s">
        <v>497</v>
      </c>
      <c r="P295" s="26"/>
      <c r="Q295" s="26"/>
      <c r="R295" s="26"/>
      <c r="S295" s="26"/>
      <c r="T295" s="26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spans="1:20" x14ac:dyDescent="0.25">
      <c r="A296" s="40" t="s">
        <v>1817</v>
      </c>
      <c r="B296" s="26" t="s">
        <v>1818</v>
      </c>
      <c r="C296" s="27"/>
      <c r="D296" s="26" t="s">
        <v>1760</v>
      </c>
      <c r="E296" s="26" t="s">
        <v>1756</v>
      </c>
      <c r="F296" s="33"/>
      <c r="G296" s="26" t="s">
        <v>1819</v>
      </c>
      <c r="H296" s="56">
        <v>25</v>
      </c>
      <c r="I296" s="32"/>
      <c r="J296" s="11">
        <v>7</v>
      </c>
      <c r="K296" s="12" t="s">
        <v>1820</v>
      </c>
      <c r="L296" s="33" t="s">
        <v>588</v>
      </c>
      <c r="M296" s="26" t="s">
        <v>404</v>
      </c>
      <c r="N296" s="26"/>
      <c r="O296" s="26"/>
      <c r="P296" s="26"/>
      <c r="Q296" s="26"/>
      <c r="R296" s="26"/>
      <c r="S296" s="26"/>
      <c r="T296" s="26"/>
    </row>
    <row r="297" spans="1:38" s="40" customFormat="1" x14ac:dyDescent="0.25">
      <c r="A297" t="s">
        <v>1821</v>
      </c>
      <c r="B297" s="26" t="s">
        <v>1822</v>
      </c>
      <c r="C297" s="27"/>
      <c r="D297" s="26" t="s">
        <v>1760</v>
      </c>
      <c r="E297" s="26" t="s">
        <v>1756</v>
      </c>
      <c r="F297" s="33"/>
      <c r="G297" s="26" t="s">
        <v>1823</v>
      </c>
      <c r="H297" s="56">
        <v>14</v>
      </c>
      <c r="I297" s="32"/>
      <c r="J297" s="11">
        <v>3</v>
      </c>
      <c r="K297" s="12" t="s">
        <v>1803</v>
      </c>
      <c r="L297" s="33" t="s">
        <v>1824</v>
      </c>
      <c r="M297" s="26" t="s">
        <v>231</v>
      </c>
      <c r="N297" s="26"/>
      <c r="O297" s="26"/>
      <c r="P297" s="26"/>
      <c r="Q297" s="26"/>
      <c r="R297" s="26"/>
      <c r="S297" s="26"/>
      <c r="T297" s="26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spans="2:20" s="14" customFormat="1" x14ac:dyDescent="0.25">
      <c r="B298" s="6" t="s">
        <v>1825</v>
      </c>
      <c r="C298" s="7"/>
      <c r="D298" s="26" t="s">
        <v>1760</v>
      </c>
      <c r="E298" s="26" t="s">
        <v>1756</v>
      </c>
      <c r="F298" s="33"/>
      <c r="G298" s="49" t="s">
        <v>1826</v>
      </c>
      <c r="H298" s="31">
        <v>10</v>
      </c>
      <c r="I298" s="32"/>
      <c r="J298" s="15">
        <v>0</v>
      </c>
      <c r="K298" s="12" t="s">
        <v>1827</v>
      </c>
      <c r="L298" s="8" t="s">
        <v>1828</v>
      </c>
      <c r="M298" s="6"/>
      <c r="N298" s="6"/>
      <c r="O298" s="6"/>
      <c r="P298" s="6"/>
      <c r="Q298" s="6"/>
      <c r="R298" s="6"/>
      <c r="S298" s="6"/>
      <c r="T298" s="6"/>
    </row>
    <row r="299" spans="1:20" x14ac:dyDescent="0.25">
      <c r="A299" t="s">
        <v>1829</v>
      </c>
      <c r="B299" s="26" t="s">
        <v>1830</v>
      </c>
      <c r="C299" s="27"/>
      <c r="D299" s="26" t="s">
        <v>1760</v>
      </c>
      <c r="E299" s="26" t="s">
        <v>1756</v>
      </c>
      <c r="F299" s="33"/>
      <c r="G299" s="26" t="s">
        <v>1831</v>
      </c>
      <c r="H299" s="56">
        <v>13</v>
      </c>
      <c r="I299" s="32"/>
      <c r="J299" s="11">
        <v>11</v>
      </c>
      <c r="K299" s="12" t="s">
        <v>1832</v>
      </c>
      <c r="L299" s="33" t="s">
        <v>231</v>
      </c>
      <c r="M299" s="26" t="s">
        <v>1833</v>
      </c>
      <c r="N299" s="26" t="s">
        <v>1833</v>
      </c>
      <c r="O299" s="26" t="s">
        <v>1337</v>
      </c>
      <c r="P299" s="26"/>
      <c r="Q299" s="26"/>
      <c r="R299" s="26"/>
      <c r="S299" s="26"/>
      <c r="T299" s="26"/>
    </row>
    <row r="300" spans="1:20" x14ac:dyDescent="0.25">
      <c r="A300" t="s">
        <v>1834</v>
      </c>
      <c r="B300" s="26" t="s">
        <v>1835</v>
      </c>
      <c r="C300" s="27"/>
      <c r="D300" s="26" t="s">
        <v>1760</v>
      </c>
      <c r="E300" s="26" t="s">
        <v>1756</v>
      </c>
      <c r="F300" s="33"/>
      <c r="G300" s="26" t="s">
        <v>1836</v>
      </c>
      <c r="H300" s="56">
        <v>13</v>
      </c>
      <c r="I300" s="32"/>
      <c r="J300" s="11">
        <v>3</v>
      </c>
      <c r="K300" s="12"/>
      <c r="L300" s="33" t="s">
        <v>1788</v>
      </c>
      <c r="M300" s="26"/>
      <c r="N300" s="26"/>
      <c r="O300" s="26"/>
      <c r="P300" s="26"/>
      <c r="Q300" s="26"/>
      <c r="R300" s="26"/>
      <c r="S300" s="26"/>
      <c r="T300" s="26"/>
    </row>
    <row r="301" spans="1:38" s="40" customFormat="1" x14ac:dyDescent="0.25">
      <c r="A301" s="40" t="s">
        <v>1837</v>
      </c>
      <c r="B301" s="42" t="s">
        <v>1838</v>
      </c>
      <c r="C301" s="43"/>
      <c r="D301" s="42" t="s">
        <v>1760</v>
      </c>
      <c r="E301" s="42" t="s">
        <v>1756</v>
      </c>
      <c r="F301" s="44"/>
      <c r="G301" s="42" t="s">
        <v>1839</v>
      </c>
      <c r="H301" s="57">
        <v>13</v>
      </c>
      <c r="I301" s="46"/>
      <c r="J301" s="47">
        <v>0</v>
      </c>
      <c r="K301" s="48" t="s">
        <v>1840</v>
      </c>
      <c r="L301" s="44" t="s">
        <v>1841</v>
      </c>
      <c r="M301" s="42" t="s">
        <v>107</v>
      </c>
      <c r="N301" s="42" t="s">
        <v>1842</v>
      </c>
      <c r="O301" s="42" t="s">
        <v>589</v>
      </c>
      <c r="P301" s="42" t="s">
        <v>11</v>
      </c>
      <c r="Q301" s="42"/>
      <c r="R301" s="42"/>
      <c r="S301" s="42"/>
      <c r="T301" s="42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spans="1:38" s="40" customFormat="1" x14ac:dyDescent="0.25">
      <c r="A302" s="40" t="s">
        <v>1843</v>
      </c>
      <c r="B302" s="42" t="s">
        <v>1844</v>
      </c>
      <c r="C302" s="43"/>
      <c r="D302" s="42" t="s">
        <v>1760</v>
      </c>
      <c r="E302" s="42" t="s">
        <v>1756</v>
      </c>
      <c r="F302" s="44"/>
      <c r="G302" s="42" t="s">
        <v>1845</v>
      </c>
      <c r="H302" s="57">
        <v>13</v>
      </c>
      <c r="I302" s="46"/>
      <c r="J302" s="47">
        <v>2</v>
      </c>
      <c r="K302" s="48" t="s">
        <v>1846</v>
      </c>
      <c r="L302" s="44" t="s">
        <v>1847</v>
      </c>
      <c r="M302" s="42" t="s">
        <v>940</v>
      </c>
      <c r="N302" s="42"/>
      <c r="O302" s="42"/>
      <c r="P302" s="42"/>
      <c r="Q302" s="42"/>
      <c r="R302" s="42"/>
      <c r="S302" s="42"/>
      <c r="T302" s="42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spans="1:38" s="40" customFormat="1" x14ac:dyDescent="0.25">
      <c r="A303" s="40" t="s">
        <v>1848</v>
      </c>
      <c r="B303" s="42" t="s">
        <v>1849</v>
      </c>
      <c r="C303" s="43"/>
      <c r="D303" s="42" t="s">
        <v>1760</v>
      </c>
      <c r="E303" s="42" t="s">
        <v>1756</v>
      </c>
      <c r="F303" s="44"/>
      <c r="G303" s="42" t="s">
        <v>1850</v>
      </c>
      <c r="H303" s="57">
        <v>13</v>
      </c>
      <c r="I303" s="89"/>
      <c r="J303" s="47">
        <v>0</v>
      </c>
      <c r="K303" s="48" t="s">
        <v>1846</v>
      </c>
      <c r="L303" s="44" t="s">
        <v>1851</v>
      </c>
      <c r="M303" s="42" t="s">
        <v>224</v>
      </c>
      <c r="N303" s="42" t="s">
        <v>940</v>
      </c>
      <c r="O303" s="42"/>
      <c r="P303" s="42"/>
      <c r="Q303" s="42"/>
      <c r="R303" s="42"/>
      <c r="S303" s="42"/>
      <c r="T303" s="42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spans="1:20" x14ac:dyDescent="0.25">
      <c r="A304" s="40"/>
      <c r="B304" s="42" t="s">
        <v>1852</v>
      </c>
      <c r="C304" s="43"/>
      <c r="D304" s="42" t="s">
        <v>1760</v>
      </c>
      <c r="E304" s="42" t="s">
        <v>1756</v>
      </c>
      <c r="F304" s="44"/>
      <c r="G304" s="42" t="s">
        <v>1853</v>
      </c>
      <c r="H304" s="57">
        <v>13</v>
      </c>
      <c r="I304" s="46"/>
      <c r="J304" s="47">
        <v>0</v>
      </c>
      <c r="K304" s="48" t="s">
        <v>1846</v>
      </c>
      <c r="L304" s="44"/>
      <c r="M304" s="42"/>
      <c r="N304" s="42"/>
      <c r="O304" s="42"/>
      <c r="P304" s="42"/>
      <c r="Q304" s="42"/>
      <c r="R304" s="42"/>
      <c r="S304" s="42"/>
      <c r="T304" s="42"/>
    </row>
    <row r="305" spans="1:20" x14ac:dyDescent="0.25">
      <c r="A305" s="4" t="s">
        <v>1854</v>
      </c>
      <c r="B305" s="26" t="s">
        <v>1855</v>
      </c>
      <c r="C305" s="27"/>
      <c r="D305" s="26" t="s">
        <v>5</v>
      </c>
      <c r="E305" s="26" t="s">
        <v>1856</v>
      </c>
      <c r="F305" s="33"/>
      <c r="G305" s="26" t="s">
        <v>1857</v>
      </c>
      <c r="H305" s="56">
        <v>10</v>
      </c>
      <c r="I305" s="32"/>
      <c r="J305" s="11">
        <v>2</v>
      </c>
      <c r="K305" s="11" t="s">
        <v>1858</v>
      </c>
      <c r="L305" s="33" t="s">
        <v>148</v>
      </c>
      <c r="M305" s="26"/>
      <c r="N305" s="26" t="s">
        <v>246</v>
      </c>
      <c r="O305" s="26" t="s">
        <v>247</v>
      </c>
      <c r="P305" s="26" t="s">
        <v>454</v>
      </c>
      <c r="Q305" s="26" t="s">
        <v>249</v>
      </c>
      <c r="R305" s="26" t="s">
        <v>1859</v>
      </c>
      <c r="S305" s="26" t="s">
        <v>224</v>
      </c>
      <c r="T305" s="26" t="s">
        <v>284</v>
      </c>
    </row>
    <row r="306" spans="1:20" x14ac:dyDescent="0.25">
      <c r="A306" s="4" t="s">
        <v>638</v>
      </c>
      <c r="B306" s="26" t="s">
        <v>1860</v>
      </c>
      <c r="C306" s="27"/>
      <c r="D306" s="26" t="s">
        <v>29</v>
      </c>
      <c r="E306" s="26" t="s">
        <v>1861</v>
      </c>
      <c r="F306" s="33"/>
      <c r="G306" s="26" t="s">
        <v>1862</v>
      </c>
      <c r="H306" s="56">
        <v>9</v>
      </c>
      <c r="I306" s="32"/>
      <c r="J306" s="11">
        <v>10</v>
      </c>
      <c r="K306" s="11" t="s">
        <v>1746</v>
      </c>
      <c r="L306" s="33"/>
      <c r="M306" s="26"/>
      <c r="N306" s="26"/>
      <c r="O306" s="26"/>
      <c r="P306" s="26"/>
      <c r="Q306" s="26"/>
      <c r="R306" s="26"/>
      <c r="S306" s="26"/>
      <c r="T306" s="26"/>
    </row>
    <row r="307" spans="1:20" x14ac:dyDescent="0.25">
      <c r="A307" s="4" t="s">
        <v>1863</v>
      </c>
      <c r="B307" s="129" t="s">
        <v>1864</v>
      </c>
      <c r="C307" s="117">
        <v>8.7</v>
      </c>
      <c r="D307" s="26" t="s">
        <v>5</v>
      </c>
      <c r="E307" s="26" t="s">
        <v>1865</v>
      </c>
      <c r="F307" s="33"/>
      <c r="G307" s="26" t="s">
        <v>1866</v>
      </c>
      <c r="H307" s="31">
        <v>15</v>
      </c>
      <c r="I307" s="32"/>
      <c r="J307" s="11">
        <v>3</v>
      </c>
      <c r="K307" s="12" t="s">
        <v>1413</v>
      </c>
      <c r="L307" s="33" t="s">
        <v>490</v>
      </c>
      <c r="M307" s="26"/>
      <c r="N307" s="26"/>
      <c r="O307" s="26"/>
      <c r="P307" s="26"/>
      <c r="Q307" s="26"/>
      <c r="R307" s="26"/>
      <c r="S307" s="26"/>
      <c r="T307" s="26"/>
    </row>
    <row r="308" spans="1:20" x14ac:dyDescent="0.25">
      <c r="A308" t="s">
        <v>1867</v>
      </c>
      <c r="B308" s="129" t="s">
        <v>1868</v>
      </c>
      <c r="C308" s="130">
        <v>7</v>
      </c>
      <c r="D308" s="26" t="s">
        <v>29</v>
      </c>
      <c r="E308" s="26" t="s">
        <v>1865</v>
      </c>
      <c r="F308" s="33"/>
      <c r="G308" s="26" t="s">
        <v>1869</v>
      </c>
      <c r="H308" s="31">
        <v>20</v>
      </c>
      <c r="I308" s="32"/>
      <c r="J308" s="11">
        <v>3</v>
      </c>
      <c r="K308" s="12" t="s">
        <v>1870</v>
      </c>
      <c r="L308" s="33" t="s">
        <v>1871</v>
      </c>
      <c r="M308" s="26" t="s">
        <v>24</v>
      </c>
      <c r="N308" s="26" t="s">
        <v>96</v>
      </c>
      <c r="O308" s="26" t="s">
        <v>971</v>
      </c>
      <c r="P308" s="26" t="s">
        <v>218</v>
      </c>
      <c r="Q308" s="26"/>
      <c r="R308" s="26"/>
      <c r="S308" s="26"/>
      <c r="T308" s="26"/>
    </row>
    <row r="309" spans="1:20" x14ac:dyDescent="0.25">
      <c r="A309" s="4" t="s">
        <v>1872</v>
      </c>
      <c r="B309" s="129" t="s">
        <v>1873</v>
      </c>
      <c r="C309" s="130">
        <v>8.5</v>
      </c>
      <c r="D309" s="26" t="s">
        <v>29</v>
      </c>
      <c r="E309" s="26" t="s">
        <v>1865</v>
      </c>
      <c r="F309" s="33"/>
      <c r="G309" s="26" t="s">
        <v>1874</v>
      </c>
      <c r="H309" s="31">
        <v>20</v>
      </c>
      <c r="I309" s="32"/>
      <c r="J309" s="11">
        <v>1</v>
      </c>
      <c r="K309" s="12" t="s">
        <v>899</v>
      </c>
      <c r="L309" s="33" t="s">
        <v>133</v>
      </c>
      <c r="M309" s="26" t="s">
        <v>64</v>
      </c>
      <c r="N309" s="26" t="s">
        <v>65</v>
      </c>
      <c r="O309" s="26" t="s">
        <v>36</v>
      </c>
      <c r="P309" s="26" t="s">
        <v>673</v>
      </c>
      <c r="Q309" s="26" t="s">
        <v>193</v>
      </c>
      <c r="R309" s="26" t="s">
        <v>812</v>
      </c>
      <c r="S309" s="26"/>
      <c r="T309" s="26" t="s">
        <v>1875</v>
      </c>
    </row>
    <row r="310" spans="1:20" x14ac:dyDescent="0.25">
      <c r="A310" s="4" t="s">
        <v>1876</v>
      </c>
      <c r="B310" s="129" t="s">
        <v>1877</v>
      </c>
      <c r="C310" s="132">
        <v>8.8</v>
      </c>
      <c r="D310" s="26" t="s">
        <v>5</v>
      </c>
      <c r="E310" s="26" t="s">
        <v>1865</v>
      </c>
      <c r="F310" s="33"/>
      <c r="G310" s="26" t="s">
        <v>1878</v>
      </c>
      <c r="H310" s="31">
        <v>20</v>
      </c>
      <c r="I310" s="32"/>
      <c r="J310" s="11">
        <v>0</v>
      </c>
      <c r="K310" s="12" t="s">
        <v>1679</v>
      </c>
      <c r="L310" s="33" t="s">
        <v>292</v>
      </c>
      <c r="M310" s="26" t="s">
        <v>403</v>
      </c>
      <c r="N310" s="26"/>
      <c r="O310" s="26"/>
      <c r="P310" s="26"/>
      <c r="Q310" s="26"/>
      <c r="R310" s="26"/>
      <c r="S310" s="26"/>
      <c r="T310" s="26"/>
    </row>
    <row r="311" spans="1:20" x14ac:dyDescent="0.25">
      <c r="A311" t="s">
        <v>1879</v>
      </c>
      <c r="B311" s="129" t="s">
        <v>1880</v>
      </c>
      <c r="C311" s="117">
        <v>7</v>
      </c>
      <c r="D311" s="26" t="s">
        <v>29</v>
      </c>
      <c r="E311" s="26" t="s">
        <v>1865</v>
      </c>
      <c r="F311" s="33"/>
      <c r="G311" s="26" t="s">
        <v>1881</v>
      </c>
      <c r="H311" s="31">
        <v>20</v>
      </c>
      <c r="I311" s="32"/>
      <c r="J311" s="11">
        <v>2</v>
      </c>
      <c r="K311" s="12" t="s">
        <v>1882</v>
      </c>
      <c r="L311" s="33" t="s">
        <v>305</v>
      </c>
      <c r="M311" s="26" t="s">
        <v>44</v>
      </c>
      <c r="N311" s="26" t="s">
        <v>133</v>
      </c>
      <c r="O311" s="26" t="s">
        <v>161</v>
      </c>
      <c r="P311" s="26"/>
      <c r="Q311" s="26" t="s">
        <v>789</v>
      </c>
      <c r="R311" s="26" t="s">
        <v>1430</v>
      </c>
      <c r="S311" s="26" t="s">
        <v>388</v>
      </c>
      <c r="T311" s="26" t="s">
        <v>1883</v>
      </c>
    </row>
    <row r="312" spans="1:20" s="14" customFormat="1" x14ac:dyDescent="0.25">
      <c r="A312" s="16" t="s">
        <v>1884</v>
      </c>
      <c r="B312" s="133" t="s">
        <v>1885</v>
      </c>
      <c r="C312" s="119"/>
      <c r="D312" s="17" t="s">
        <v>29</v>
      </c>
      <c r="E312" s="17" t="s">
        <v>1865</v>
      </c>
      <c r="F312" s="25"/>
      <c r="G312" s="17" t="s">
        <v>1886</v>
      </c>
      <c r="H312" s="22">
        <v>10</v>
      </c>
      <c r="I312" s="23" t="s">
        <v>1887</v>
      </c>
      <c r="J312" s="15">
        <v>0</v>
      </c>
      <c r="K312" s="24" t="s">
        <v>1888</v>
      </c>
      <c r="L312" s="25" t="s">
        <v>1889</v>
      </c>
      <c r="M312" s="17" t="s">
        <v>1890</v>
      </c>
      <c r="N312" s="17" t="s">
        <v>1891</v>
      </c>
      <c r="O312" s="17" t="s">
        <v>64</v>
      </c>
      <c r="P312" s="17"/>
      <c r="Q312" s="17"/>
      <c r="R312" s="17"/>
      <c r="S312" s="17"/>
      <c r="T312" s="17"/>
    </row>
    <row r="313" spans="1:20" x14ac:dyDescent="0.25">
      <c r="A313" t="s">
        <v>1892</v>
      </c>
      <c r="B313" s="129" t="s">
        <v>1893</v>
      </c>
      <c r="C313" s="117">
        <v>7.2</v>
      </c>
      <c r="D313" s="26" t="s">
        <v>29</v>
      </c>
      <c r="E313" s="26" t="s">
        <v>1865</v>
      </c>
      <c r="F313" s="33"/>
      <c r="G313" s="26" t="s">
        <v>1894</v>
      </c>
      <c r="H313" s="31">
        <v>10</v>
      </c>
      <c r="I313" s="32" t="s">
        <v>1887</v>
      </c>
      <c r="J313" s="15">
        <v>0</v>
      </c>
      <c r="K313" s="12" t="s">
        <v>889</v>
      </c>
      <c r="L313" s="33" t="s">
        <v>1891</v>
      </c>
      <c r="M313" s="26" t="s">
        <v>1895</v>
      </c>
      <c r="N313" s="26" t="s">
        <v>1896</v>
      </c>
      <c r="O313" s="28">
        <v>45924</v>
      </c>
      <c r="P313" s="26" t="s">
        <v>1897</v>
      </c>
      <c r="Q313" s="26" t="s">
        <v>403</v>
      </c>
      <c r="R313" s="26"/>
      <c r="S313" s="26"/>
      <c r="T313" s="26"/>
    </row>
    <row r="314" spans="1:20" x14ac:dyDescent="0.25">
      <c r="A314" t="s">
        <v>1898</v>
      </c>
      <c r="B314" s="129" t="s">
        <v>1899</v>
      </c>
      <c r="C314" s="117">
        <v>7.9</v>
      </c>
      <c r="D314" s="26" t="s">
        <v>29</v>
      </c>
      <c r="E314" s="26" t="s">
        <v>1865</v>
      </c>
      <c r="F314" s="33"/>
      <c r="G314" s="26" t="s">
        <v>1900</v>
      </c>
      <c r="H314" s="31">
        <v>20</v>
      </c>
      <c r="I314" s="32"/>
      <c r="J314" s="11">
        <v>8</v>
      </c>
      <c r="K314" s="12" t="s">
        <v>718</v>
      </c>
      <c r="L314" s="33" t="s">
        <v>49</v>
      </c>
      <c r="M314" s="26"/>
      <c r="N314" s="26" t="s">
        <v>1717</v>
      </c>
      <c r="O314" s="26" t="s">
        <v>95</v>
      </c>
      <c r="P314" s="26" t="s">
        <v>1901</v>
      </c>
      <c r="Q314" s="26" t="s">
        <v>1430</v>
      </c>
      <c r="R314" s="26" t="s">
        <v>1039</v>
      </c>
      <c r="S314" s="26" t="s">
        <v>1902</v>
      </c>
      <c r="T314" s="26" t="s">
        <v>160</v>
      </c>
    </row>
    <row r="315" spans="1:20" x14ac:dyDescent="0.25">
      <c r="A315" t="s">
        <v>1903</v>
      </c>
      <c r="B315" s="104" t="s">
        <v>1904</v>
      </c>
      <c r="C315" s="132"/>
      <c r="D315" s="6" t="s">
        <v>5</v>
      </c>
      <c r="E315" s="6" t="s">
        <v>1865</v>
      </c>
      <c r="F315" s="8"/>
      <c r="G315" s="6" t="s">
        <v>1905</v>
      </c>
      <c r="H315" s="50">
        <v>10</v>
      </c>
      <c r="I315" s="10"/>
      <c r="J315" s="51">
        <v>8</v>
      </c>
      <c r="K315" s="52" t="s">
        <v>1906</v>
      </c>
      <c r="L315" s="8" t="s">
        <v>926</v>
      </c>
      <c r="M315" s="6" t="s">
        <v>1907</v>
      </c>
      <c r="N315" s="6" t="s">
        <v>1303</v>
      </c>
      <c r="O315" s="6" t="s">
        <v>1908</v>
      </c>
      <c r="P315" s="6" t="s">
        <v>512</v>
      </c>
      <c r="Q315" s="6" t="s">
        <v>11</v>
      </c>
      <c r="R315" s="6"/>
      <c r="S315" s="6"/>
      <c r="T315" s="6"/>
    </row>
    <row r="316" spans="1:20" x14ac:dyDescent="0.25">
      <c r="A316" s="4" t="s">
        <v>1909</v>
      </c>
      <c r="B316" s="129" t="s">
        <v>1910</v>
      </c>
      <c r="C316" s="117"/>
      <c r="D316" s="26" t="s">
        <v>5</v>
      </c>
      <c r="E316" s="26" t="s">
        <v>1865</v>
      </c>
      <c r="F316" s="33"/>
      <c r="G316" s="26" t="s">
        <v>1911</v>
      </c>
      <c r="H316" s="31">
        <v>10</v>
      </c>
      <c r="I316" s="32"/>
      <c r="J316" s="11">
        <v>4</v>
      </c>
      <c r="K316" s="12" t="s">
        <v>1220</v>
      </c>
      <c r="L316" s="33" t="s">
        <v>926</v>
      </c>
      <c r="M316" s="26"/>
      <c r="N316" s="26"/>
      <c r="O316" s="26"/>
      <c r="P316" s="26"/>
      <c r="Q316" s="26"/>
      <c r="R316" s="26"/>
      <c r="S316" s="26"/>
      <c r="T316" s="26"/>
    </row>
    <row r="317" spans="1:20" x14ac:dyDescent="0.25">
      <c r="A317" t="s">
        <v>1912</v>
      </c>
      <c r="B317" s="129" t="s">
        <v>1913</v>
      </c>
      <c r="C317" s="130">
        <v>7.9</v>
      </c>
      <c r="D317" s="26" t="s">
        <v>29</v>
      </c>
      <c r="E317" s="26" t="s">
        <v>1865</v>
      </c>
      <c r="F317" s="33"/>
      <c r="G317" s="26" t="s">
        <v>1914</v>
      </c>
      <c r="H317" s="31">
        <v>20</v>
      </c>
      <c r="I317" s="32"/>
      <c r="J317" s="11">
        <v>5</v>
      </c>
      <c r="K317" s="12" t="s">
        <v>899</v>
      </c>
      <c r="L317" s="33" t="s">
        <v>1273</v>
      </c>
      <c r="M317" s="26" t="s">
        <v>1915</v>
      </c>
      <c r="N317" s="26" t="s">
        <v>1916</v>
      </c>
      <c r="O317" s="26" t="s">
        <v>913</v>
      </c>
      <c r="P317" s="26" t="s">
        <v>85</v>
      </c>
      <c r="Q317" s="26" t="s">
        <v>133</v>
      </c>
      <c r="R317" s="26"/>
      <c r="S317" s="26"/>
      <c r="T317" s="26"/>
    </row>
    <row r="318" spans="1:20" x14ac:dyDescent="0.25">
      <c r="A318" t="s">
        <v>1917</v>
      </c>
      <c r="B318" s="129" t="s">
        <v>1918</v>
      </c>
      <c r="C318" s="132">
        <v>8.7</v>
      </c>
      <c r="D318" s="26" t="s">
        <v>5</v>
      </c>
      <c r="E318" s="26" t="s">
        <v>1865</v>
      </c>
      <c r="F318" s="33"/>
      <c r="G318" s="26" t="s">
        <v>1919</v>
      </c>
      <c r="H318" s="31">
        <v>10</v>
      </c>
      <c r="I318" s="32"/>
      <c r="J318" s="11">
        <v>0</v>
      </c>
      <c r="K318" s="12" t="s">
        <v>889</v>
      </c>
      <c r="L318" s="33" t="s">
        <v>1920</v>
      </c>
      <c r="M318" s="26"/>
      <c r="N318" s="26"/>
      <c r="O318" s="26"/>
      <c r="P318" s="26"/>
      <c r="Q318" s="26"/>
      <c r="R318" s="26"/>
      <c r="S318" s="26"/>
      <c r="T318" s="26"/>
    </row>
    <row r="319" spans="1:20" x14ac:dyDescent="0.25">
      <c r="A319" t="s">
        <v>1921</v>
      </c>
      <c r="B319" s="129" t="s">
        <v>1922</v>
      </c>
      <c r="C319" s="117"/>
      <c r="D319" s="26" t="s">
        <v>29</v>
      </c>
      <c r="E319" s="26" t="s">
        <v>1865</v>
      </c>
      <c r="F319" s="33"/>
      <c r="G319" s="26" t="s">
        <v>1923</v>
      </c>
      <c r="H319" s="31">
        <v>10</v>
      </c>
      <c r="I319" s="32"/>
      <c r="J319" s="37">
        <v>2</v>
      </c>
      <c r="K319" s="12" t="s">
        <v>1888</v>
      </c>
      <c r="L319" s="33" t="s">
        <v>682</v>
      </c>
      <c r="M319" s="26" t="s">
        <v>24</v>
      </c>
      <c r="N319" s="26"/>
      <c r="O319" s="26"/>
      <c r="P319" s="26"/>
      <c r="Q319" s="26"/>
      <c r="R319" s="26"/>
      <c r="S319" s="26"/>
      <c r="T319" s="26"/>
    </row>
    <row r="320" spans="1:20" x14ac:dyDescent="0.25">
      <c r="A320" s="4" t="s">
        <v>1924</v>
      </c>
      <c r="B320" s="129" t="s">
        <v>1925</v>
      </c>
      <c r="C320" s="130">
        <v>8.2</v>
      </c>
      <c r="D320" s="26" t="s">
        <v>29</v>
      </c>
      <c r="E320" s="26" t="s">
        <v>1865</v>
      </c>
      <c r="F320" s="33"/>
      <c r="G320" s="26" t="s">
        <v>1926</v>
      </c>
      <c r="H320" s="31">
        <v>20</v>
      </c>
      <c r="I320" s="32"/>
      <c r="J320" s="11">
        <v>5</v>
      </c>
      <c r="K320" s="12" t="s">
        <v>1927</v>
      </c>
      <c r="L320" s="33" t="s">
        <v>48</v>
      </c>
      <c r="M320" s="26" t="s">
        <v>49</v>
      </c>
      <c r="N320" s="26" t="s">
        <v>1321</v>
      </c>
      <c r="O320" s="26"/>
      <c r="P320" s="26" t="s">
        <v>1902</v>
      </c>
      <c r="Q320" s="26" t="s">
        <v>729</v>
      </c>
      <c r="R320" s="26" t="s">
        <v>651</v>
      </c>
      <c r="S320" s="26" t="s">
        <v>259</v>
      </c>
      <c r="T320" s="26" t="s">
        <v>913</v>
      </c>
    </row>
    <row r="321" spans="1:20" x14ac:dyDescent="0.25">
      <c r="A321" s="4" t="s">
        <v>1928</v>
      </c>
      <c r="B321" s="129" t="s">
        <v>1929</v>
      </c>
      <c r="C321" s="117">
        <v>8.2</v>
      </c>
      <c r="D321" s="26" t="s">
        <v>29</v>
      </c>
      <c r="E321" s="26" t="s">
        <v>1865</v>
      </c>
      <c r="F321" s="33"/>
      <c r="G321" s="26" t="s">
        <v>1930</v>
      </c>
      <c r="H321" s="31">
        <v>10</v>
      </c>
      <c r="I321" s="32"/>
      <c r="J321" s="11">
        <v>3</v>
      </c>
      <c r="K321" s="12" t="s">
        <v>130</v>
      </c>
      <c r="L321" s="33" t="s">
        <v>25</v>
      </c>
      <c r="M321" s="26" t="s">
        <v>484</v>
      </c>
      <c r="N321" s="26" t="s">
        <v>44</v>
      </c>
      <c r="O321" s="26" t="s">
        <v>1931</v>
      </c>
      <c r="P321" s="26" t="s">
        <v>1619</v>
      </c>
      <c r="Q321" s="26" t="s">
        <v>502</v>
      </c>
      <c r="R321" s="26" t="s">
        <v>1321</v>
      </c>
      <c r="S321" s="26"/>
      <c r="T321" s="26" t="s">
        <v>913</v>
      </c>
    </row>
    <row r="322" spans="1:20" x14ac:dyDescent="0.25">
      <c r="A322" s="4" t="s">
        <v>1932</v>
      </c>
      <c r="B322" s="129" t="s">
        <v>1933</v>
      </c>
      <c r="C322" s="117"/>
      <c r="D322" s="26" t="s">
        <v>29</v>
      </c>
      <c r="E322" s="26" t="s">
        <v>1934</v>
      </c>
      <c r="F322" s="33"/>
      <c r="G322" s="26" t="s">
        <v>1935</v>
      </c>
      <c r="H322" s="31">
        <v>20</v>
      </c>
      <c r="I322" s="32"/>
      <c r="J322" s="11">
        <v>4</v>
      </c>
      <c r="K322" s="12" t="s">
        <v>552</v>
      </c>
      <c r="L322" s="33" t="s">
        <v>403</v>
      </c>
      <c r="M322" s="26"/>
      <c r="N322" s="26"/>
      <c r="O322" s="26"/>
      <c r="P322" s="26"/>
      <c r="Q322" s="26"/>
      <c r="R322" s="26"/>
      <c r="S322" s="26"/>
      <c r="T322" s="26"/>
    </row>
    <row r="323" spans="1:38" s="16" customFormat="1" x14ac:dyDescent="0.25">
      <c r="A323" s="4" t="s">
        <v>638</v>
      </c>
      <c r="B323" s="26" t="s">
        <v>1936</v>
      </c>
      <c r="C323" s="27">
        <v>8.5</v>
      </c>
      <c r="D323" s="26" t="s">
        <v>29</v>
      </c>
      <c r="E323" s="29" t="s">
        <v>1937</v>
      </c>
      <c r="F323" s="30"/>
      <c r="G323" s="26" t="s">
        <v>1075</v>
      </c>
      <c r="H323" s="31">
        <v>20</v>
      </c>
      <c r="I323" s="32"/>
      <c r="J323" s="37">
        <v>2</v>
      </c>
      <c r="K323" s="12" t="s">
        <v>1938</v>
      </c>
      <c r="L323" s="33" t="s">
        <v>983</v>
      </c>
      <c r="M323" s="26" t="s">
        <v>525</v>
      </c>
      <c r="N323" s="26" t="s">
        <v>1022</v>
      </c>
      <c r="O323" s="26" t="s">
        <v>1939</v>
      </c>
      <c r="P323" s="26" t="s">
        <v>10</v>
      </c>
      <c r="Q323" s="26" t="s">
        <v>602</v>
      </c>
      <c r="R323" s="26" t="s">
        <v>259</v>
      </c>
      <c r="S323" s="26" t="s">
        <v>49</v>
      </c>
      <c r="T323" s="26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spans="1:20" x14ac:dyDescent="0.25">
      <c r="A324" s="40"/>
      <c r="B324" s="42" t="s">
        <v>1940</v>
      </c>
      <c r="C324" s="43"/>
      <c r="D324" s="42" t="s">
        <v>29</v>
      </c>
      <c r="E324" s="42" t="s">
        <v>1941</v>
      </c>
      <c r="F324" s="44"/>
      <c r="G324" s="42" t="s">
        <v>1942</v>
      </c>
      <c r="H324" s="45">
        <v>20</v>
      </c>
      <c r="I324" s="46"/>
      <c r="J324" s="47">
        <v>0</v>
      </c>
      <c r="K324" s="48" t="s">
        <v>1943</v>
      </c>
      <c r="L324" s="44" t="s">
        <v>217</v>
      </c>
      <c r="M324" s="42" t="s">
        <v>267</v>
      </c>
      <c r="N324" s="42"/>
      <c r="O324" s="42"/>
      <c r="P324" s="42"/>
      <c r="Q324" s="42"/>
      <c r="R324" s="42"/>
      <c r="S324" s="42"/>
      <c r="T324" s="42"/>
    </row>
    <row r="325" spans="1:20" x14ac:dyDescent="0.25">
      <c r="A325">
        <v>793585935613</v>
      </c>
      <c r="B325" s="6" t="s">
        <v>1944</v>
      </c>
      <c r="C325" s="7">
        <v>5.3</v>
      </c>
      <c r="D325" s="6" t="s">
        <v>29</v>
      </c>
      <c r="E325" s="74" t="s">
        <v>1937</v>
      </c>
      <c r="F325" s="75"/>
      <c r="G325" s="6" t="s">
        <v>1945</v>
      </c>
      <c r="H325" s="50">
        <v>20</v>
      </c>
      <c r="I325" s="10"/>
      <c r="J325" s="51">
        <v>3</v>
      </c>
      <c r="K325" s="52" t="s">
        <v>157</v>
      </c>
      <c r="L325" s="8" t="s">
        <v>135</v>
      </c>
      <c r="M325" s="6" t="s">
        <v>1322</v>
      </c>
      <c r="N325" s="6" t="s">
        <v>463</v>
      </c>
      <c r="O325" s="6" t="s">
        <v>667</v>
      </c>
      <c r="P325" s="6" t="s">
        <v>404</v>
      </c>
      <c r="Q325" s="6"/>
      <c r="R325" s="6"/>
      <c r="S325" s="6"/>
      <c r="T325" s="6"/>
    </row>
    <row r="326" spans="1:20" x14ac:dyDescent="0.25">
      <c r="A326" s="4" t="s">
        <v>1946</v>
      </c>
      <c r="B326" s="26" t="s">
        <v>1947</v>
      </c>
      <c r="C326" s="27">
        <v>7.3</v>
      </c>
      <c r="D326" s="26" t="s">
        <v>29</v>
      </c>
      <c r="E326" s="29" t="s">
        <v>1937</v>
      </c>
      <c r="F326" s="30"/>
      <c r="G326" s="26" t="s">
        <v>1948</v>
      </c>
      <c r="H326" s="31">
        <v>20</v>
      </c>
      <c r="I326" s="32"/>
      <c r="J326" s="11">
        <v>2</v>
      </c>
      <c r="K326" s="12" t="s">
        <v>440</v>
      </c>
      <c r="L326" s="33" t="s">
        <v>212</v>
      </c>
      <c r="M326" s="26" t="s">
        <v>1322</v>
      </c>
      <c r="N326" s="26"/>
      <c r="O326" s="26"/>
      <c r="P326" s="26"/>
      <c r="Q326" s="26"/>
      <c r="R326" s="26"/>
      <c r="S326" s="26"/>
      <c r="T326" s="26"/>
    </row>
    <row r="327" spans="1:20" x14ac:dyDescent="0.25">
      <c r="A327" s="4" t="s">
        <v>1949</v>
      </c>
      <c r="B327" s="6" t="s">
        <v>1950</v>
      </c>
      <c r="C327" s="7">
        <v>7.3</v>
      </c>
      <c r="D327" s="6" t="s">
        <v>29</v>
      </c>
      <c r="E327" s="74" t="s">
        <v>1937</v>
      </c>
      <c r="F327" s="75"/>
      <c r="G327" s="6" t="s">
        <v>1951</v>
      </c>
      <c r="H327" s="50">
        <v>20</v>
      </c>
      <c r="I327" s="10"/>
      <c r="J327" s="51">
        <v>4</v>
      </c>
      <c r="K327" s="52" t="s">
        <v>1667</v>
      </c>
      <c r="L327" s="8" t="s">
        <v>537</v>
      </c>
      <c r="M327" s="6" t="s">
        <v>682</v>
      </c>
      <c r="N327" s="6" t="s">
        <v>880</v>
      </c>
      <c r="O327" s="6" t="s">
        <v>86</v>
      </c>
      <c r="P327" s="6" t="s">
        <v>428</v>
      </c>
      <c r="Q327" s="6" t="s">
        <v>473</v>
      </c>
      <c r="R327" s="6"/>
      <c r="S327" s="6"/>
      <c r="T327" s="6"/>
    </row>
    <row r="328" spans="1:21" x14ac:dyDescent="0.25">
      <c r="A328" s="4" t="s">
        <v>638</v>
      </c>
      <c r="B328" s="159" t="s">
        <v>1952</v>
      </c>
      <c r="C328" s="160"/>
      <c r="D328" s="159"/>
      <c r="E328" s="159" t="s">
        <v>1953</v>
      </c>
      <c r="F328" s="161"/>
      <c r="G328" s="159" t="s">
        <v>1954</v>
      </c>
      <c r="H328" s="159">
        <v>15</v>
      </c>
      <c r="I328" s="159"/>
      <c r="J328" s="162">
        <v>1</v>
      </c>
      <c r="K328" s="159"/>
      <c r="L328" s="163" t="s">
        <v>1588</v>
      </c>
      <c r="M328" s="159" t="s">
        <v>794</v>
      </c>
      <c r="N328" s="159" t="s">
        <v>11</v>
      </c>
      <c r="O328" s="159"/>
      <c r="P328" s="159"/>
      <c r="Q328" s="159"/>
      <c r="R328" s="159"/>
      <c r="S328" s="159"/>
      <c r="T328" s="159"/>
      <c r="U328" s="164"/>
    </row>
    <row r="329" spans="1:20" x14ac:dyDescent="0.25">
      <c r="A329" s="4" t="s">
        <v>638</v>
      </c>
      <c r="B329" s="26" t="s">
        <v>1955</v>
      </c>
      <c r="C329" s="27"/>
      <c r="D329" s="26"/>
      <c r="E329" s="165" t="s">
        <v>1953</v>
      </c>
      <c r="F329" s="30"/>
      <c r="G329" s="165" t="s">
        <v>1956</v>
      </c>
      <c r="H329" s="31">
        <v>15</v>
      </c>
      <c r="I329" s="32"/>
      <c r="J329" s="11">
        <v>1</v>
      </c>
      <c r="K329" s="12"/>
      <c r="L329" s="33"/>
      <c r="M329" s="26"/>
      <c r="N329" s="26"/>
      <c r="O329" s="26"/>
      <c r="P329" s="26"/>
      <c r="Q329" s="26"/>
      <c r="R329" s="26"/>
      <c r="S329" s="26"/>
      <c r="T329" s="26"/>
    </row>
    <row r="330" spans="1:20" x14ac:dyDescent="0.25">
      <c r="A330" s="4" t="s">
        <v>638</v>
      </c>
      <c r="B330" s="159" t="s">
        <v>1957</v>
      </c>
      <c r="C330" s="27"/>
      <c r="D330" s="26"/>
      <c r="E330" s="159" t="s">
        <v>1953</v>
      </c>
      <c r="F330" s="30"/>
      <c r="G330" s="159" t="s">
        <v>1958</v>
      </c>
      <c r="H330" s="31">
        <v>15</v>
      </c>
      <c r="I330" s="32"/>
      <c r="J330" s="11">
        <v>2</v>
      </c>
      <c r="K330" s="12"/>
      <c r="L330" s="33" t="s">
        <v>1959</v>
      </c>
      <c r="M330" s="26"/>
      <c r="N330" s="26"/>
      <c r="O330" s="26"/>
      <c r="P330" s="26"/>
      <c r="Q330" s="26"/>
      <c r="R330" s="26"/>
      <c r="S330" s="26"/>
      <c r="T330" s="26"/>
    </row>
    <row r="331" spans="1:20" x14ac:dyDescent="0.25">
      <c r="A331" s="4" t="s">
        <v>638</v>
      </c>
      <c r="B331" s="26" t="s">
        <v>1960</v>
      </c>
      <c r="C331" s="27"/>
      <c r="D331" s="26"/>
      <c r="E331" s="165" t="s">
        <v>1953</v>
      </c>
      <c r="F331" s="30"/>
      <c r="G331" s="165" t="s">
        <v>1961</v>
      </c>
      <c r="H331" s="31">
        <v>15</v>
      </c>
      <c r="I331" s="32"/>
      <c r="J331" s="11">
        <v>3</v>
      </c>
      <c r="K331" s="12"/>
      <c r="L331" s="33"/>
      <c r="M331" s="26"/>
      <c r="N331" s="26"/>
      <c r="O331" s="26"/>
      <c r="P331" s="26"/>
      <c r="Q331" s="26"/>
      <c r="R331" s="26"/>
      <c r="S331" s="26"/>
      <c r="T331" s="26"/>
    </row>
    <row r="332" spans="2:20" x14ac:dyDescent="0.25">
      <c r="B332" s="26" t="s">
        <v>1962</v>
      </c>
      <c r="C332" s="27"/>
      <c r="D332" s="26"/>
      <c r="E332" s="29" t="s">
        <v>1963</v>
      </c>
      <c r="F332" s="30"/>
      <c r="G332" s="26" t="s">
        <v>1964</v>
      </c>
      <c r="H332" s="31">
        <v>18</v>
      </c>
      <c r="I332" s="32"/>
      <c r="J332" s="11">
        <v>2</v>
      </c>
      <c r="K332" s="12" t="s">
        <v>673</v>
      </c>
      <c r="L332" s="8"/>
      <c r="M332" s="6"/>
      <c r="N332" s="6"/>
      <c r="O332" s="6"/>
      <c r="P332" s="6"/>
      <c r="Q332" s="6"/>
      <c r="R332" s="6"/>
      <c r="S332" s="6"/>
      <c r="T332" s="6"/>
    </row>
    <row r="333" spans="1:20" s="14" customFormat="1" x14ac:dyDescent="0.25">
      <c r="A333" s="4">
        <v>716105111972</v>
      </c>
      <c r="B333" s="26" t="s">
        <v>1965</v>
      </c>
      <c r="C333" s="35">
        <v>9</v>
      </c>
      <c r="D333" s="26" t="s">
        <v>29</v>
      </c>
      <c r="E333" s="26" t="s">
        <v>1966</v>
      </c>
      <c r="F333" s="33"/>
      <c r="G333" s="26" t="s">
        <v>1967</v>
      </c>
      <c r="H333" s="31">
        <v>6</v>
      </c>
      <c r="I333" s="32"/>
      <c r="J333" s="11">
        <v>17</v>
      </c>
      <c r="K333" s="12" t="s">
        <v>402</v>
      </c>
      <c r="L333" s="33" t="s">
        <v>864</v>
      </c>
      <c r="M333" s="26" t="s">
        <v>1968</v>
      </c>
      <c r="N333" s="26" t="s">
        <v>1244</v>
      </c>
      <c r="O333" s="26" t="s">
        <v>1547</v>
      </c>
      <c r="P333" s="26" t="s">
        <v>612</v>
      </c>
      <c r="Q333" s="26" t="s">
        <v>162</v>
      </c>
      <c r="R333" s="26" t="s">
        <v>1205</v>
      </c>
      <c r="S333" s="26" t="s">
        <v>1969</v>
      </c>
      <c r="T333" s="26" t="s">
        <v>119</v>
      </c>
    </row>
    <row r="334" spans="1:20" x14ac:dyDescent="0.25">
      <c r="A334" s="4">
        <v>716105111972</v>
      </c>
      <c r="B334" s="26" t="s">
        <v>1970</v>
      </c>
      <c r="C334" s="35">
        <v>9</v>
      </c>
      <c r="D334" s="26" t="s">
        <v>29</v>
      </c>
      <c r="E334" s="26" t="s">
        <v>1966</v>
      </c>
      <c r="F334" s="33"/>
      <c r="G334" s="26" t="s">
        <v>1971</v>
      </c>
      <c r="H334" s="31">
        <v>25</v>
      </c>
      <c r="I334" s="32"/>
      <c r="J334" s="11">
        <v>3</v>
      </c>
      <c r="K334" s="12" t="s">
        <v>1592</v>
      </c>
      <c r="L334" s="33" t="s">
        <v>864</v>
      </c>
      <c r="M334" s="26" t="s">
        <v>1968</v>
      </c>
      <c r="N334" s="26" t="s">
        <v>1244</v>
      </c>
      <c r="O334" s="26" t="s">
        <v>1547</v>
      </c>
      <c r="P334" s="26" t="s">
        <v>612</v>
      </c>
      <c r="Q334" s="26" t="s">
        <v>162</v>
      </c>
      <c r="R334" s="26" t="s">
        <v>346</v>
      </c>
      <c r="S334" s="26"/>
      <c r="T334" s="26" t="s">
        <v>119</v>
      </c>
    </row>
    <row r="335" spans="1:20" x14ac:dyDescent="0.25">
      <c r="A335" s="40" t="s">
        <v>1972</v>
      </c>
      <c r="B335" s="42" t="s">
        <v>1973</v>
      </c>
      <c r="C335" s="43"/>
      <c r="D335" s="42" t="s">
        <v>1974</v>
      </c>
      <c r="E335" s="42" t="s">
        <v>1975</v>
      </c>
      <c r="F335" s="44"/>
      <c r="G335" s="85" t="s">
        <v>1976</v>
      </c>
      <c r="H335" s="45">
        <v>15</v>
      </c>
      <c r="I335" s="46"/>
      <c r="J335" s="47">
        <v>0</v>
      </c>
      <c r="K335" s="48" t="s">
        <v>1442</v>
      </c>
      <c r="L335" s="44" t="s">
        <v>1349</v>
      </c>
      <c r="M335" s="42" t="s">
        <v>941</v>
      </c>
      <c r="N335" s="42" t="s">
        <v>734</v>
      </c>
      <c r="O335" s="42" t="s">
        <v>603</v>
      </c>
      <c r="P335" s="42" t="s">
        <v>65</v>
      </c>
      <c r="Q335" s="42"/>
      <c r="R335" s="42"/>
      <c r="S335" s="42"/>
      <c r="T335" s="42"/>
    </row>
    <row r="336" spans="2:20" x14ac:dyDescent="0.25">
      <c r="B336" s="26" t="s">
        <v>1977</v>
      </c>
      <c r="C336" s="27"/>
      <c r="D336" s="26"/>
      <c r="E336" s="29" t="s">
        <v>1978</v>
      </c>
      <c r="F336" s="30"/>
      <c r="G336" s="26" t="s">
        <v>1979</v>
      </c>
      <c r="H336" s="31">
        <v>1</v>
      </c>
      <c r="I336" s="32"/>
      <c r="J336" s="37">
        <v>1</v>
      </c>
      <c r="K336" s="12"/>
      <c r="L336" s="33"/>
      <c r="M336" s="26"/>
      <c r="N336" s="26"/>
      <c r="O336" s="26"/>
      <c r="P336" s="26"/>
      <c r="Q336" s="26"/>
      <c r="R336" s="26"/>
      <c r="S336" s="26"/>
      <c r="T336" s="26"/>
    </row>
    <row r="337" spans="1:20" x14ac:dyDescent="0.25">
      <c r="A337" s="4" t="s">
        <v>1980</v>
      </c>
      <c r="B337" s="26" t="s">
        <v>1981</v>
      </c>
      <c r="C337" s="27">
        <v>22</v>
      </c>
      <c r="D337" s="28" t="s">
        <v>5</v>
      </c>
      <c r="E337" s="26" t="s">
        <v>1982</v>
      </c>
      <c r="F337" s="33"/>
      <c r="G337" s="26" t="s">
        <v>1983</v>
      </c>
      <c r="H337" s="56">
        <v>1</v>
      </c>
      <c r="I337" s="32"/>
      <c r="J337" s="11">
        <v>9</v>
      </c>
      <c r="K337" s="12" t="s">
        <v>412</v>
      </c>
      <c r="L337" s="3" t="s">
        <v>213</v>
      </c>
      <c r="M337" s="28"/>
      <c r="N337" s="26" t="s">
        <v>1984</v>
      </c>
      <c r="O337" s="26" t="s">
        <v>1985</v>
      </c>
      <c r="P337" s="26" t="s">
        <v>1986</v>
      </c>
      <c r="Q337" s="26" t="s">
        <v>802</v>
      </c>
      <c r="R337" s="26" t="s">
        <v>81</v>
      </c>
      <c r="S337" s="26" t="s">
        <v>1987</v>
      </c>
      <c r="T337" s="33" t="s">
        <v>1988</v>
      </c>
    </row>
    <row r="338" ht="15.75" customHeight="1" spans="1:20" x14ac:dyDescent="0.25">
      <c r="A338" t="s">
        <v>1989</v>
      </c>
      <c r="B338" s="26" t="s">
        <v>1990</v>
      </c>
      <c r="C338" s="27">
        <v>7.3</v>
      </c>
      <c r="D338" s="26" t="s">
        <v>29</v>
      </c>
      <c r="E338" s="26" t="s">
        <v>1982</v>
      </c>
      <c r="F338" s="33"/>
      <c r="G338" s="26" t="s">
        <v>1991</v>
      </c>
      <c r="H338" s="31">
        <v>10</v>
      </c>
      <c r="I338" s="32" t="s">
        <v>1992</v>
      </c>
      <c r="J338" s="11">
        <v>2</v>
      </c>
      <c r="K338" s="12" t="s">
        <v>1993</v>
      </c>
      <c r="L338" s="33" t="s">
        <v>737</v>
      </c>
      <c r="M338" s="26"/>
      <c r="N338" s="26"/>
      <c r="O338" s="26"/>
      <c r="P338" s="26"/>
      <c r="Q338" s="26"/>
      <c r="R338" s="26"/>
      <c r="S338" s="26"/>
      <c r="T338" s="26"/>
    </row>
    <row r="339" spans="1:20" x14ac:dyDescent="0.25">
      <c r="A339" t="s">
        <v>1994</v>
      </c>
      <c r="B339" s="26" t="s">
        <v>1995</v>
      </c>
      <c r="C339" s="27">
        <v>7.3</v>
      </c>
      <c r="D339" s="26" t="s">
        <v>29</v>
      </c>
      <c r="E339" s="26" t="s">
        <v>1982</v>
      </c>
      <c r="F339" s="33"/>
      <c r="G339" s="26" t="s">
        <v>1996</v>
      </c>
      <c r="H339" s="31">
        <v>10</v>
      </c>
      <c r="I339" s="32" t="s">
        <v>1997</v>
      </c>
      <c r="J339" s="11">
        <v>1</v>
      </c>
      <c r="K339" s="12" t="s">
        <v>1998</v>
      </c>
      <c r="L339" s="33" t="s">
        <v>1063</v>
      </c>
      <c r="M339" s="26" t="s">
        <v>1686</v>
      </c>
      <c r="N339" s="26" t="s">
        <v>1999</v>
      </c>
      <c r="O339" s="26" t="s">
        <v>682</v>
      </c>
      <c r="P339" s="26" t="s">
        <v>10</v>
      </c>
      <c r="Q339" s="26" t="s">
        <v>844</v>
      </c>
      <c r="R339" s="26"/>
      <c r="S339" s="26"/>
      <c r="T339" s="26"/>
    </row>
    <row r="340" spans="1:20" x14ac:dyDescent="0.25">
      <c r="A340" t="s">
        <v>2000</v>
      </c>
      <c r="B340" s="6" t="s">
        <v>2001</v>
      </c>
      <c r="C340" s="7"/>
      <c r="D340" s="28" t="s">
        <v>29</v>
      </c>
      <c r="E340" s="6" t="s">
        <v>1982</v>
      </c>
      <c r="F340" s="8"/>
      <c r="G340" s="6" t="s">
        <v>2002</v>
      </c>
      <c r="H340" s="9">
        <v>10</v>
      </c>
      <c r="I340" s="10" t="s">
        <v>2003</v>
      </c>
      <c r="J340" s="15">
        <v>0</v>
      </c>
      <c r="K340" s="12" t="s">
        <v>1160</v>
      </c>
      <c r="L340" s="8" t="s">
        <v>879</v>
      </c>
      <c r="M340" s="13" t="s">
        <v>509</v>
      </c>
      <c r="N340" s="6" t="s">
        <v>940</v>
      </c>
      <c r="O340" s="6"/>
      <c r="P340" s="6"/>
      <c r="Q340" s="6"/>
      <c r="R340" s="6"/>
      <c r="S340" s="6"/>
      <c r="T340" s="6"/>
    </row>
    <row r="341" spans="2:20" x14ac:dyDescent="0.25">
      <c r="B341" s="76" t="s">
        <v>2004</v>
      </c>
      <c r="C341" s="77">
        <v>8.5</v>
      </c>
      <c r="D341" s="76" t="s">
        <v>29</v>
      </c>
      <c r="E341" s="76" t="s">
        <v>2005</v>
      </c>
      <c r="F341" s="30"/>
      <c r="G341" s="76" t="s">
        <v>2006</v>
      </c>
      <c r="H341" s="78">
        <v>5</v>
      </c>
      <c r="I341" s="38"/>
      <c r="J341" s="96">
        <v>0</v>
      </c>
      <c r="K341" s="12" t="s">
        <v>2007</v>
      </c>
      <c r="L341" s="33" t="s">
        <v>2008</v>
      </c>
      <c r="M341" s="26" t="s">
        <v>2009</v>
      </c>
      <c r="N341" s="26"/>
      <c r="O341" s="26"/>
      <c r="P341" s="26"/>
      <c r="Q341" s="26"/>
      <c r="R341" s="26"/>
      <c r="S341" s="26"/>
      <c r="T341" s="26"/>
    </row>
    <row r="342" spans="2:20" x14ac:dyDescent="0.25">
      <c r="B342" s="55" t="s">
        <v>2010</v>
      </c>
      <c r="C342" s="59"/>
      <c r="D342" s="55" t="s">
        <v>29</v>
      </c>
      <c r="E342" s="55" t="s">
        <v>2011</v>
      </c>
      <c r="F342" s="60"/>
      <c r="G342" s="55" t="s">
        <v>2012</v>
      </c>
      <c r="H342" s="61">
        <v>5</v>
      </c>
      <c r="I342" s="62"/>
      <c r="J342" s="63">
        <v>0</v>
      </c>
      <c r="K342" s="12"/>
      <c r="L342" s="33" t="s">
        <v>2013</v>
      </c>
      <c r="M342" s="26" t="s">
        <v>2014</v>
      </c>
      <c r="N342" s="26" t="s">
        <v>1572</v>
      </c>
      <c r="O342" s="26"/>
      <c r="P342" s="26"/>
      <c r="Q342" s="26"/>
      <c r="R342" s="26"/>
      <c r="S342" s="26"/>
      <c r="T342" s="26"/>
    </row>
    <row r="343" spans="1:38" s="40" customFormat="1" x14ac:dyDescent="0.25">
      <c r="A343" t="s">
        <v>2015</v>
      </c>
      <c r="B343" s="55" t="s">
        <v>2016</v>
      </c>
      <c r="C343" s="59"/>
      <c r="D343" s="55" t="s">
        <v>29</v>
      </c>
      <c r="E343" s="55" t="s">
        <v>2011</v>
      </c>
      <c r="F343" s="60"/>
      <c r="G343" s="55" t="s">
        <v>2017</v>
      </c>
      <c r="H343" s="61">
        <v>20</v>
      </c>
      <c r="I343" s="62" t="s">
        <v>2018</v>
      </c>
      <c r="J343" s="105">
        <v>1</v>
      </c>
      <c r="K343" s="12" t="s">
        <v>656</v>
      </c>
      <c r="L343" s="33" t="s">
        <v>1716</v>
      </c>
      <c r="M343" s="26" t="s">
        <v>2019</v>
      </c>
      <c r="N343" s="26" t="s">
        <v>682</v>
      </c>
      <c r="O343" s="26" t="s">
        <v>818</v>
      </c>
      <c r="P343" s="26" t="s">
        <v>2020</v>
      </c>
      <c r="Q343" s="26" t="s">
        <v>49</v>
      </c>
      <c r="R343" s="26" t="s">
        <v>148</v>
      </c>
      <c r="S343" s="26"/>
      <c r="T343" s="26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spans="1:20" x14ac:dyDescent="0.25">
      <c r="A344" t="s">
        <v>2021</v>
      </c>
      <c r="B344" s="101" t="s">
        <v>2022</v>
      </c>
      <c r="C344" s="166">
        <v>6</v>
      </c>
      <c r="D344" s="101" t="s">
        <v>29</v>
      </c>
      <c r="E344" s="101" t="s">
        <v>2011</v>
      </c>
      <c r="F344" s="167"/>
      <c r="G344" s="101" t="s">
        <v>2023</v>
      </c>
      <c r="H344" s="168">
        <v>20</v>
      </c>
      <c r="I344" s="169"/>
      <c r="J344" s="170">
        <v>4</v>
      </c>
      <c r="K344" s="52" t="s">
        <v>2024</v>
      </c>
      <c r="L344" s="8" t="s">
        <v>213</v>
      </c>
      <c r="M344" s="6"/>
      <c r="N344" s="6" t="s">
        <v>952</v>
      </c>
      <c r="O344" s="6" t="s">
        <v>682</v>
      </c>
      <c r="P344" s="6" t="s">
        <v>818</v>
      </c>
      <c r="Q344" s="6" t="s">
        <v>259</v>
      </c>
      <c r="R344" s="6" t="s">
        <v>249</v>
      </c>
      <c r="S344" s="6" t="s">
        <v>256</v>
      </c>
      <c r="T344" s="6" t="s">
        <v>63</v>
      </c>
    </row>
    <row r="345" spans="2:20" x14ac:dyDescent="0.25">
      <c r="B345" s="55" t="s">
        <v>2025</v>
      </c>
      <c r="C345" s="59"/>
      <c r="D345" s="55" t="s">
        <v>2026</v>
      </c>
      <c r="E345" s="55" t="s">
        <v>2026</v>
      </c>
      <c r="F345" s="60"/>
      <c r="G345" s="171" t="s">
        <v>2027</v>
      </c>
      <c r="H345" s="172">
        <v>22</v>
      </c>
      <c r="I345" s="173"/>
      <c r="J345" s="63">
        <v>0</v>
      </c>
      <c r="K345" s="12" t="s">
        <v>2028</v>
      </c>
      <c r="L345" s="33" t="s">
        <v>1071</v>
      </c>
      <c r="M345" s="26" t="s">
        <v>903</v>
      </c>
      <c r="N345" s="26" t="s">
        <v>2029</v>
      </c>
      <c r="O345" s="26" t="s">
        <v>370</v>
      </c>
      <c r="P345" s="26"/>
      <c r="Q345" s="26"/>
      <c r="R345" s="26"/>
      <c r="S345" s="26"/>
      <c r="T345" s="26"/>
    </row>
    <row r="346" spans="1:20" s="14" customFormat="1" x14ac:dyDescent="0.25">
      <c r="A346" t="s">
        <v>2030</v>
      </c>
      <c r="B346" s="55" t="s">
        <v>2031</v>
      </c>
      <c r="C346" s="59"/>
      <c r="D346" s="55" t="s">
        <v>2026</v>
      </c>
      <c r="E346" s="55" t="s">
        <v>2026</v>
      </c>
      <c r="F346" s="60"/>
      <c r="G346" s="174" t="s">
        <v>2032</v>
      </c>
      <c r="H346" s="61">
        <v>22</v>
      </c>
      <c r="I346" s="62"/>
      <c r="J346" s="105">
        <v>2</v>
      </c>
      <c r="K346" s="12" t="s">
        <v>2028</v>
      </c>
      <c r="L346" s="33" t="s">
        <v>2033</v>
      </c>
      <c r="M346" s="26" t="s">
        <v>1625</v>
      </c>
      <c r="N346" s="26" t="s">
        <v>1799</v>
      </c>
      <c r="O346" s="26"/>
      <c r="P346" s="26"/>
      <c r="Q346" s="26"/>
      <c r="R346" s="26"/>
      <c r="S346" s="26"/>
      <c r="T346" s="26"/>
    </row>
    <row r="347" ht="36" customHeight="1" spans="1:20" x14ac:dyDescent="0.25">
      <c r="A347" t="s">
        <v>638</v>
      </c>
      <c r="B347" s="55" t="s">
        <v>2034</v>
      </c>
      <c r="C347" s="59"/>
      <c r="D347" s="55" t="s">
        <v>2026</v>
      </c>
      <c r="E347" s="55" t="s">
        <v>2026</v>
      </c>
      <c r="F347" s="60"/>
      <c r="G347" s="175" t="s">
        <v>2035</v>
      </c>
      <c r="H347" s="61">
        <v>10</v>
      </c>
      <c r="I347" s="62"/>
      <c r="J347" s="105">
        <v>1</v>
      </c>
      <c r="K347" s="12" t="s">
        <v>2036</v>
      </c>
      <c r="L347" s="33" t="s">
        <v>2033</v>
      </c>
      <c r="M347" s="26"/>
      <c r="N347" s="26"/>
      <c r="O347" s="26"/>
      <c r="P347" s="26"/>
      <c r="Q347" s="26"/>
      <c r="R347" s="26"/>
      <c r="S347" s="26"/>
      <c r="T347" s="26"/>
    </row>
    <row r="348" spans="1:38" s="40" customFormat="1" x14ac:dyDescent="0.25">
      <c r="A348" t="s">
        <v>2037</v>
      </c>
      <c r="B348" s="55" t="s">
        <v>2038</v>
      </c>
      <c r="C348" s="59"/>
      <c r="D348" s="55" t="s">
        <v>2026</v>
      </c>
      <c r="E348" s="55" t="s">
        <v>2026</v>
      </c>
      <c r="F348" s="60"/>
      <c r="G348" s="174" t="s">
        <v>2039</v>
      </c>
      <c r="H348" s="61">
        <v>22</v>
      </c>
      <c r="I348" s="62"/>
      <c r="J348" s="105">
        <v>2</v>
      </c>
      <c r="K348" s="12" t="s">
        <v>2028</v>
      </c>
      <c r="L348" s="33" t="s">
        <v>2040</v>
      </c>
      <c r="M348" s="26" t="s">
        <v>83</v>
      </c>
      <c r="N348" s="26"/>
      <c r="O348" s="26"/>
      <c r="P348" s="26"/>
      <c r="Q348" s="26"/>
      <c r="R348" s="26"/>
      <c r="S348" s="26"/>
      <c r="T348" s="26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ht="36" customHeight="1" spans="1:20" x14ac:dyDescent="0.25">
      <c r="A349" t="s">
        <v>2041</v>
      </c>
      <c r="B349" s="55" t="s">
        <v>2042</v>
      </c>
      <c r="C349" s="59"/>
      <c r="D349" s="55" t="s">
        <v>2026</v>
      </c>
      <c r="E349" s="55" t="s">
        <v>2026</v>
      </c>
      <c r="F349" s="60"/>
      <c r="G349" s="175" t="s">
        <v>2043</v>
      </c>
      <c r="H349" s="61">
        <v>10</v>
      </c>
      <c r="I349" s="62"/>
      <c r="J349" s="105">
        <v>1</v>
      </c>
      <c r="K349" s="12" t="s">
        <v>2036</v>
      </c>
      <c r="L349" s="33" t="s">
        <v>737</v>
      </c>
      <c r="M349" s="26"/>
      <c r="N349" s="26"/>
      <c r="O349" s="26"/>
      <c r="P349" s="26"/>
      <c r="Q349" s="26"/>
      <c r="R349" s="26"/>
      <c r="S349" s="26"/>
      <c r="T349" s="26"/>
    </row>
    <row r="350" spans="1:20" x14ac:dyDescent="0.25">
      <c r="A350" t="s">
        <v>638</v>
      </c>
      <c r="B350" s="55" t="s">
        <v>2044</v>
      </c>
      <c r="C350" s="59"/>
      <c r="D350" s="55" t="s">
        <v>2026</v>
      </c>
      <c r="E350" s="55" t="s">
        <v>2026</v>
      </c>
      <c r="F350" s="60"/>
      <c r="G350" s="174" t="s">
        <v>2045</v>
      </c>
      <c r="H350" s="61">
        <v>22</v>
      </c>
      <c r="I350" s="62"/>
      <c r="J350" s="105">
        <v>5</v>
      </c>
      <c r="K350" s="12" t="s">
        <v>2046</v>
      </c>
      <c r="L350" s="33" t="s">
        <v>2047</v>
      </c>
      <c r="M350" s="26" t="s">
        <v>2048</v>
      </c>
      <c r="N350" s="26"/>
      <c r="O350" s="26"/>
      <c r="P350" s="26"/>
      <c r="Q350" s="26"/>
      <c r="R350" s="26"/>
      <c r="S350" s="26"/>
      <c r="T350" s="26"/>
    </row>
    <row r="351" spans="1:20" x14ac:dyDescent="0.25">
      <c r="A351" t="s">
        <v>638</v>
      </c>
      <c r="B351" s="55" t="s">
        <v>2049</v>
      </c>
      <c r="C351" s="59"/>
      <c r="D351" s="55" t="s">
        <v>2026</v>
      </c>
      <c r="E351" s="55" t="s">
        <v>2026</v>
      </c>
      <c r="F351" s="60"/>
      <c r="G351" s="174" t="s">
        <v>2050</v>
      </c>
      <c r="H351" s="61">
        <v>22</v>
      </c>
      <c r="I351" s="62"/>
      <c r="J351" s="105">
        <v>3</v>
      </c>
      <c r="K351" s="12" t="s">
        <v>2051</v>
      </c>
      <c r="L351" s="33"/>
      <c r="M351" s="26"/>
      <c r="N351" s="26"/>
      <c r="O351" s="26"/>
      <c r="P351" s="26"/>
      <c r="Q351" s="26"/>
      <c r="R351" s="26"/>
      <c r="S351" s="26"/>
      <c r="T351" s="26"/>
    </row>
    <row r="352" ht="24" customHeight="1" spans="1:38" s="40" customFormat="1" x14ac:dyDescent="0.25">
      <c r="A352" t="s">
        <v>2052</v>
      </c>
      <c r="B352" s="55" t="s">
        <v>2053</v>
      </c>
      <c r="C352" s="59"/>
      <c r="D352" s="55" t="s">
        <v>2026</v>
      </c>
      <c r="E352" s="55" t="s">
        <v>2026</v>
      </c>
      <c r="F352" s="60"/>
      <c r="G352" s="175" t="s">
        <v>2054</v>
      </c>
      <c r="H352" s="61">
        <v>5</v>
      </c>
      <c r="I352" s="62"/>
      <c r="J352" s="105">
        <v>11</v>
      </c>
      <c r="K352" s="12" t="s">
        <v>2055</v>
      </c>
      <c r="L352" s="33" t="s">
        <v>956</v>
      </c>
      <c r="M352" s="26" t="s">
        <v>827</v>
      </c>
      <c r="N352" s="26" t="s">
        <v>2056</v>
      </c>
      <c r="O352" s="26" t="s">
        <v>958</v>
      </c>
      <c r="P352" s="26" t="s">
        <v>920</v>
      </c>
      <c r="Q352" s="26"/>
      <c r="R352" s="26"/>
      <c r="S352" s="26"/>
      <c r="T352" s="26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 spans="1:20" s="14" customFormat="1" x14ac:dyDescent="0.25">
      <c r="A353" t="s">
        <v>638</v>
      </c>
      <c r="B353" s="55" t="s">
        <v>2057</v>
      </c>
      <c r="C353" s="59"/>
      <c r="D353" s="55" t="s">
        <v>2026</v>
      </c>
      <c r="E353" s="55" t="s">
        <v>2026</v>
      </c>
      <c r="F353" s="60"/>
      <c r="G353" s="174" t="s">
        <v>2058</v>
      </c>
      <c r="H353" s="61">
        <v>22</v>
      </c>
      <c r="I353" s="62"/>
      <c r="J353" s="105">
        <v>5</v>
      </c>
      <c r="K353" s="12" t="s">
        <v>2046</v>
      </c>
      <c r="L353" s="33" t="s">
        <v>1657</v>
      </c>
      <c r="M353" s="26" t="s">
        <v>2059</v>
      </c>
      <c r="N353" s="26" t="s">
        <v>2060</v>
      </c>
      <c r="O353" s="26" t="s">
        <v>425</v>
      </c>
      <c r="P353" s="26"/>
      <c r="Q353" s="26"/>
      <c r="R353" s="26"/>
      <c r="S353" s="26"/>
      <c r="T353" s="26"/>
    </row>
    <row r="354" spans="1:20" x14ac:dyDescent="0.25">
      <c r="A354" t="s">
        <v>638</v>
      </c>
      <c r="B354" s="55" t="s">
        <v>2061</v>
      </c>
      <c r="C354" s="59"/>
      <c r="D354" s="55" t="s">
        <v>2026</v>
      </c>
      <c r="E354" s="55" t="s">
        <v>2026</v>
      </c>
      <c r="F354" s="60"/>
      <c r="G354" s="174" t="s">
        <v>2062</v>
      </c>
      <c r="H354" s="61">
        <v>22</v>
      </c>
      <c r="I354" s="62"/>
      <c r="J354" s="105">
        <v>4</v>
      </c>
      <c r="K354" s="12" t="s">
        <v>2046</v>
      </c>
      <c r="L354" s="33" t="s">
        <v>1572</v>
      </c>
      <c r="M354" s="26" t="s">
        <v>1495</v>
      </c>
      <c r="N354" s="26" t="s">
        <v>863</v>
      </c>
      <c r="O354" s="26" t="s">
        <v>425</v>
      </c>
      <c r="P354" s="26"/>
      <c r="Q354" s="26"/>
      <c r="R354" s="26"/>
      <c r="S354" s="26"/>
      <c r="T354" s="26"/>
    </row>
    <row r="355" spans="1:20" s="14" customFormat="1" x14ac:dyDescent="0.25">
      <c r="A355" s="4" t="s">
        <v>2063</v>
      </c>
      <c r="B355" s="26" t="s">
        <v>2064</v>
      </c>
      <c r="C355" s="27">
        <v>8.2</v>
      </c>
      <c r="D355" s="26" t="s">
        <v>29</v>
      </c>
      <c r="E355" s="26" t="s">
        <v>2065</v>
      </c>
      <c r="F355" s="33"/>
      <c r="G355" s="26" t="s">
        <v>2066</v>
      </c>
      <c r="H355" s="31">
        <v>8</v>
      </c>
      <c r="I355" s="32" t="s">
        <v>2067</v>
      </c>
      <c r="J355" s="11">
        <v>7</v>
      </c>
      <c r="K355" s="12" t="s">
        <v>2068</v>
      </c>
      <c r="L355" s="33" t="s">
        <v>2069</v>
      </c>
      <c r="M355" s="26" t="s">
        <v>1206</v>
      </c>
      <c r="N355" s="26" t="s">
        <v>260</v>
      </c>
      <c r="O355" s="26" t="s">
        <v>158</v>
      </c>
      <c r="P355" s="26" t="s">
        <v>554</v>
      </c>
      <c r="Q355" s="26"/>
      <c r="R355" s="26" t="s">
        <v>2070</v>
      </c>
      <c r="S355" s="26" t="s">
        <v>2071</v>
      </c>
      <c r="T355" s="26" t="s">
        <v>473</v>
      </c>
    </row>
    <row r="356" spans="1:20" x14ac:dyDescent="0.25">
      <c r="A356" t="s">
        <v>2072</v>
      </c>
      <c r="B356" s="26" t="s">
        <v>2073</v>
      </c>
      <c r="C356" s="35">
        <v>8.2</v>
      </c>
      <c r="D356" s="26" t="s">
        <v>29</v>
      </c>
      <c r="E356" s="26" t="s">
        <v>2065</v>
      </c>
      <c r="F356" s="33"/>
      <c r="G356" s="26" t="s">
        <v>2074</v>
      </c>
      <c r="H356" s="31">
        <v>4</v>
      </c>
      <c r="I356" s="32" t="s">
        <v>2075</v>
      </c>
      <c r="J356" s="11">
        <v>0</v>
      </c>
      <c r="K356" s="12" t="s">
        <v>2076</v>
      </c>
      <c r="L356" s="33" t="s">
        <v>84</v>
      </c>
      <c r="M356" s="26" t="s">
        <v>553</v>
      </c>
      <c r="N356" s="28"/>
      <c r="O356" s="26" t="s">
        <v>508</v>
      </c>
      <c r="P356" s="26" t="s">
        <v>2077</v>
      </c>
      <c r="Q356" s="26" t="s">
        <v>345</v>
      </c>
      <c r="R356" s="26" t="s">
        <v>2078</v>
      </c>
      <c r="S356" s="26" t="s">
        <v>697</v>
      </c>
      <c r="T356" s="26" t="s">
        <v>88</v>
      </c>
    </row>
    <row r="357" spans="1:38" s="16" customFormat="1" x14ac:dyDescent="0.25">
      <c r="A357" t="s">
        <v>2079</v>
      </c>
      <c r="B357" s="26" t="s">
        <v>2080</v>
      </c>
      <c r="C357" s="35">
        <v>8.2</v>
      </c>
      <c r="D357" s="26" t="s">
        <v>29</v>
      </c>
      <c r="E357" s="26" t="s">
        <v>2065</v>
      </c>
      <c r="F357" s="33"/>
      <c r="G357" s="26" t="s">
        <v>2081</v>
      </c>
      <c r="H357" s="31">
        <v>4</v>
      </c>
      <c r="I357" s="32" t="s">
        <v>2075</v>
      </c>
      <c r="J357" s="11">
        <v>1</v>
      </c>
      <c r="K357" s="12" t="s">
        <v>2082</v>
      </c>
      <c r="L357" s="33" t="s">
        <v>1611</v>
      </c>
      <c r="M357" s="26" t="s">
        <v>2083</v>
      </c>
      <c r="N357" s="26"/>
      <c r="O357" s="26"/>
      <c r="P357" s="26"/>
      <c r="Q357" s="26"/>
      <c r="R357" s="26"/>
      <c r="S357" s="26"/>
      <c r="T357" s="26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spans="2:20" x14ac:dyDescent="0.25">
      <c r="B358" s="26" t="s">
        <v>2084</v>
      </c>
      <c r="C358" s="35">
        <v>8.2</v>
      </c>
      <c r="D358" s="26" t="s">
        <v>29</v>
      </c>
      <c r="E358" s="26" t="s">
        <v>2065</v>
      </c>
      <c r="F358" s="33"/>
      <c r="G358" s="26" t="s">
        <v>2085</v>
      </c>
      <c r="H358" s="31">
        <v>4</v>
      </c>
      <c r="I358" s="32" t="s">
        <v>2075</v>
      </c>
      <c r="J358" s="11">
        <v>2</v>
      </c>
      <c r="K358" s="12" t="s">
        <v>2086</v>
      </c>
      <c r="L358" s="33" t="s">
        <v>2087</v>
      </c>
      <c r="M358" s="26" t="s">
        <v>2083</v>
      </c>
      <c r="N358" s="26" t="s">
        <v>508</v>
      </c>
      <c r="O358" s="26"/>
      <c r="P358" s="26"/>
      <c r="Q358" s="26"/>
      <c r="R358" s="26"/>
      <c r="S358" s="26"/>
      <c r="T358" s="26"/>
    </row>
    <row r="359" spans="1:20" x14ac:dyDescent="0.25">
      <c r="A359" t="s">
        <v>2088</v>
      </c>
      <c r="B359" s="26" t="s">
        <v>2089</v>
      </c>
      <c r="C359" s="35">
        <v>10.1</v>
      </c>
      <c r="D359" s="26" t="s">
        <v>29</v>
      </c>
      <c r="E359" s="26" t="s">
        <v>2065</v>
      </c>
      <c r="F359" s="33"/>
      <c r="G359" s="26" t="s">
        <v>2090</v>
      </c>
      <c r="H359" s="56"/>
      <c r="I359" s="32"/>
      <c r="J359" s="11">
        <v>1</v>
      </c>
      <c r="K359" s="12" t="s">
        <v>2091</v>
      </c>
      <c r="L359" s="33" t="s">
        <v>804</v>
      </c>
      <c r="M359" s="26" t="s">
        <v>1547</v>
      </c>
      <c r="N359" s="26" t="s">
        <v>63</v>
      </c>
      <c r="O359" s="26"/>
      <c r="P359" s="26"/>
      <c r="Q359" s="26"/>
      <c r="R359" s="26"/>
      <c r="S359" s="26"/>
      <c r="T359" s="26"/>
    </row>
    <row r="360" spans="1:20" x14ac:dyDescent="0.25">
      <c r="A360" t="s">
        <v>2092</v>
      </c>
      <c r="B360" s="26" t="s">
        <v>2093</v>
      </c>
      <c r="C360" s="35">
        <v>9.2</v>
      </c>
      <c r="D360" s="26" t="s">
        <v>29</v>
      </c>
      <c r="E360" s="26" t="s">
        <v>2065</v>
      </c>
      <c r="F360" s="33"/>
      <c r="G360" s="26" t="s">
        <v>2094</v>
      </c>
      <c r="H360" s="56">
        <v>10</v>
      </c>
      <c r="I360" s="32"/>
      <c r="J360" s="15">
        <v>3</v>
      </c>
      <c r="K360" s="12" t="s">
        <v>2095</v>
      </c>
      <c r="L360" s="33" t="s">
        <v>602</v>
      </c>
      <c r="M360" s="26" t="s">
        <v>804</v>
      </c>
      <c r="N360" s="26" t="s">
        <v>2096</v>
      </c>
      <c r="O360" s="26"/>
      <c r="P360" s="26"/>
      <c r="Q360" s="26"/>
      <c r="R360" s="26"/>
      <c r="S360" s="26"/>
      <c r="T360" s="26"/>
    </row>
    <row r="361" spans="1:20" x14ac:dyDescent="0.25">
      <c r="A361" t="s">
        <v>2097</v>
      </c>
      <c r="B361" s="26" t="s">
        <v>2098</v>
      </c>
      <c r="C361" s="35">
        <v>7.2</v>
      </c>
      <c r="D361" s="26" t="s">
        <v>29</v>
      </c>
      <c r="E361" s="26" t="s">
        <v>2065</v>
      </c>
      <c r="F361" s="33"/>
      <c r="G361" s="26" t="s">
        <v>2099</v>
      </c>
      <c r="H361" s="56">
        <v>10</v>
      </c>
      <c r="I361" s="32"/>
      <c r="J361" s="11">
        <v>2</v>
      </c>
      <c r="K361" s="12" t="s">
        <v>2091</v>
      </c>
      <c r="L361" s="33" t="s">
        <v>346</v>
      </c>
      <c r="M361" s="26"/>
      <c r="N361" s="26" t="s">
        <v>2100</v>
      </c>
      <c r="O361" s="26" t="s">
        <v>1561</v>
      </c>
      <c r="P361" s="26" t="s">
        <v>2101</v>
      </c>
      <c r="Q361" s="26" t="s">
        <v>109</v>
      </c>
      <c r="R361" s="26" t="s">
        <v>2102</v>
      </c>
      <c r="S361" s="26" t="s">
        <v>804</v>
      </c>
      <c r="T361" s="26" t="s">
        <v>36</v>
      </c>
    </row>
    <row r="362" spans="1:20" s="14" customFormat="1" x14ac:dyDescent="0.25">
      <c r="A362" t="s">
        <v>638</v>
      </c>
      <c r="B362" s="26" t="s">
        <v>2103</v>
      </c>
      <c r="C362" s="27"/>
      <c r="D362" s="55" t="s">
        <v>5</v>
      </c>
      <c r="E362" s="26" t="s">
        <v>2104</v>
      </c>
      <c r="F362" s="33"/>
      <c r="G362" s="26" t="s">
        <v>2105</v>
      </c>
      <c r="H362" s="56">
        <v>10</v>
      </c>
      <c r="I362" s="32"/>
      <c r="J362" s="15">
        <v>0</v>
      </c>
      <c r="K362" s="12" t="s">
        <v>2106</v>
      </c>
      <c r="L362" s="33" t="s">
        <v>1674</v>
      </c>
      <c r="M362" s="26" t="s">
        <v>2107</v>
      </c>
      <c r="N362" s="26" t="s">
        <v>86</v>
      </c>
      <c r="O362" s="26" t="s">
        <v>1015</v>
      </c>
      <c r="P362" s="26" t="s">
        <v>1891</v>
      </c>
      <c r="Q362" s="26" t="s">
        <v>135</v>
      </c>
      <c r="R362" s="26" t="s">
        <v>1033</v>
      </c>
      <c r="S362" s="26"/>
      <c r="T362" s="26"/>
    </row>
    <row r="363" spans="2:20" s="14" customFormat="1" x14ac:dyDescent="0.25">
      <c r="B363" s="26" t="s">
        <v>2108</v>
      </c>
      <c r="C363" s="27"/>
      <c r="D363" s="26" t="s">
        <v>5</v>
      </c>
      <c r="E363" s="26" t="s">
        <v>2104</v>
      </c>
      <c r="F363" s="33"/>
      <c r="G363" s="17" t="s">
        <v>2109</v>
      </c>
      <c r="H363" s="22">
        <v>8</v>
      </c>
      <c r="I363" s="23"/>
      <c r="J363" s="15">
        <v>0</v>
      </c>
      <c r="K363" s="12" t="s">
        <v>2110</v>
      </c>
      <c r="L363" s="33" t="s">
        <v>545</v>
      </c>
      <c r="M363" s="26" t="s">
        <v>22</v>
      </c>
      <c r="N363" s="26" t="s">
        <v>1725</v>
      </c>
      <c r="O363" s="26" t="s">
        <v>1457</v>
      </c>
      <c r="P363" s="26"/>
      <c r="Q363" s="26"/>
      <c r="R363" s="26"/>
      <c r="S363" s="26"/>
      <c r="T363" s="26"/>
    </row>
    <row r="364" spans="1:20" x14ac:dyDescent="0.25">
      <c r="A364" t="s">
        <v>2111</v>
      </c>
      <c r="B364" s="6" t="s">
        <v>2112</v>
      </c>
      <c r="C364" s="7">
        <v>5</v>
      </c>
      <c r="D364" s="101" t="s">
        <v>5</v>
      </c>
      <c r="E364" s="6" t="s">
        <v>2104</v>
      </c>
      <c r="F364" s="8"/>
      <c r="G364" s="6" t="s">
        <v>2113</v>
      </c>
      <c r="H364" s="9">
        <v>6</v>
      </c>
      <c r="I364" s="10" t="s">
        <v>2114</v>
      </c>
      <c r="J364" s="51">
        <v>5</v>
      </c>
      <c r="K364" s="52" t="s">
        <v>1220</v>
      </c>
      <c r="L364" s="8" t="s">
        <v>1273</v>
      </c>
      <c r="M364" s="6" t="s">
        <v>1250</v>
      </c>
      <c r="N364" s="6" t="s">
        <v>2115</v>
      </c>
      <c r="O364" s="6" t="s">
        <v>536</v>
      </c>
      <c r="P364" s="6" t="s">
        <v>1054</v>
      </c>
      <c r="Q364" s="6" t="s">
        <v>958</v>
      </c>
      <c r="R364" s="6" t="s">
        <v>1495</v>
      </c>
      <c r="S364" s="6" t="s">
        <v>1015</v>
      </c>
      <c r="T364" s="6"/>
    </row>
    <row r="365" spans="1:20" s="14" customFormat="1" x14ac:dyDescent="0.25">
      <c r="A365" s="40"/>
      <c r="B365" s="42" t="s">
        <v>2116</v>
      </c>
      <c r="C365" s="43"/>
      <c r="D365" s="42" t="s">
        <v>2117</v>
      </c>
      <c r="E365" s="42" t="s">
        <v>2117</v>
      </c>
      <c r="F365" s="44"/>
      <c r="G365" s="42" t="s">
        <v>2118</v>
      </c>
      <c r="H365" s="57">
        <v>5</v>
      </c>
      <c r="I365" s="46"/>
      <c r="J365" s="47">
        <v>0</v>
      </c>
      <c r="K365" s="48"/>
      <c r="L365" s="44" t="s">
        <v>34</v>
      </c>
      <c r="M365" s="42" t="s">
        <v>2119</v>
      </c>
      <c r="N365" s="42"/>
      <c r="O365" s="42"/>
      <c r="P365" s="42"/>
      <c r="Q365" s="42"/>
      <c r="R365" s="42"/>
      <c r="S365" s="42"/>
      <c r="T365" s="42"/>
    </row>
    <row r="366" spans="1:38" s="40" customFormat="1" x14ac:dyDescent="0.25">
      <c r="A366" s="40" t="s">
        <v>2120</v>
      </c>
      <c r="B366" s="42" t="s">
        <v>2121</v>
      </c>
      <c r="C366" s="43"/>
      <c r="D366" s="64" t="s">
        <v>2117</v>
      </c>
      <c r="E366" s="42" t="s">
        <v>2117</v>
      </c>
      <c r="F366" s="44"/>
      <c r="G366" s="42" t="s">
        <v>2122</v>
      </c>
      <c r="H366" s="57">
        <v>20</v>
      </c>
      <c r="I366" s="46"/>
      <c r="J366" s="47">
        <v>0</v>
      </c>
      <c r="K366" s="48"/>
      <c r="L366" s="44" t="s">
        <v>2119</v>
      </c>
      <c r="M366" s="42" t="s">
        <v>11</v>
      </c>
      <c r="N366" s="42"/>
      <c r="O366" s="42"/>
      <c r="P366" s="42"/>
      <c r="Q366" s="42"/>
      <c r="R366" s="42"/>
      <c r="S366" s="42"/>
      <c r="T366" s="42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spans="1:20" s="14" customFormat="1" x14ac:dyDescent="0.25">
      <c r="A367" s="40"/>
      <c r="B367" s="42" t="s">
        <v>2123</v>
      </c>
      <c r="C367" s="43"/>
      <c r="D367" s="64"/>
      <c r="E367" s="42" t="s">
        <v>2117</v>
      </c>
      <c r="F367" s="44"/>
      <c r="G367" s="42" t="s">
        <v>2124</v>
      </c>
      <c r="H367" s="57">
        <v>20</v>
      </c>
      <c r="I367" s="46"/>
      <c r="J367" s="47">
        <v>0</v>
      </c>
      <c r="K367" s="48" t="s">
        <v>2125</v>
      </c>
      <c r="L367" s="44" t="s">
        <v>2126</v>
      </c>
      <c r="M367" s="124">
        <v>44992</v>
      </c>
      <c r="N367" s="42" t="s">
        <v>1003</v>
      </c>
      <c r="O367" s="42"/>
      <c r="P367" s="42"/>
      <c r="Q367" s="42"/>
      <c r="R367" s="42"/>
      <c r="S367" s="42"/>
      <c r="T367" s="42"/>
    </row>
    <row r="368" spans="1:38" s="40" customFormat="1" x14ac:dyDescent="0.25">
      <c r="A368" s="16"/>
      <c r="B368" s="17" t="s">
        <v>2127</v>
      </c>
      <c r="C368" s="18"/>
      <c r="D368" s="99"/>
      <c r="E368" s="17" t="s">
        <v>2117</v>
      </c>
      <c r="F368" s="25"/>
      <c r="G368" s="176" t="s">
        <v>2128</v>
      </c>
      <c r="H368" s="177">
        <v>10</v>
      </c>
      <c r="I368" s="178" t="s">
        <v>1887</v>
      </c>
      <c r="J368" s="179">
        <v>0</v>
      </c>
      <c r="K368" s="24" t="s">
        <v>1685</v>
      </c>
      <c r="L368" s="25"/>
      <c r="M368" s="17"/>
      <c r="N368" s="17"/>
      <c r="O368" s="17"/>
      <c r="P368" s="17"/>
      <c r="Q368" s="17" t="s">
        <v>1320</v>
      </c>
      <c r="R368" s="17"/>
      <c r="S368" s="17"/>
      <c r="T368" s="17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 spans="1:38" s="16" customFormat="1" x14ac:dyDescent="0.25">
      <c r="A369" s="40"/>
      <c r="B369" s="42" t="s">
        <v>2129</v>
      </c>
      <c r="C369" s="43"/>
      <c r="D369" s="42" t="s">
        <v>2117</v>
      </c>
      <c r="E369" s="42" t="s">
        <v>2117</v>
      </c>
      <c r="F369" s="44"/>
      <c r="G369" s="42" t="s">
        <v>2130</v>
      </c>
      <c r="H369" s="57" t="s">
        <v>2131</v>
      </c>
      <c r="I369" s="46" t="s">
        <v>1373</v>
      </c>
      <c r="J369" s="47">
        <v>0</v>
      </c>
      <c r="K369" s="48" t="s">
        <v>2132</v>
      </c>
      <c r="L369" s="44" t="s">
        <v>1116</v>
      </c>
      <c r="M369" s="42" t="s">
        <v>2133</v>
      </c>
      <c r="N369" s="42" t="s">
        <v>1999</v>
      </c>
      <c r="O369" s="42" t="s">
        <v>1687</v>
      </c>
      <c r="P369" s="42" t="s">
        <v>109</v>
      </c>
      <c r="Q369" s="42" t="s">
        <v>2134</v>
      </c>
      <c r="R369" s="42" t="s">
        <v>274</v>
      </c>
      <c r="S369" s="42"/>
      <c r="T369" s="42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spans="1:20" s="14" customFormat="1" x14ac:dyDescent="0.25">
      <c r="A370" t="s">
        <v>2135</v>
      </c>
      <c r="B370" s="26" t="s">
        <v>2136</v>
      </c>
      <c r="C370" s="27"/>
      <c r="D370" s="26" t="s">
        <v>2117</v>
      </c>
      <c r="E370" s="26" t="s">
        <v>2117</v>
      </c>
      <c r="F370" s="33"/>
      <c r="G370" s="26" t="s">
        <v>2137</v>
      </c>
      <c r="H370" s="56" t="s">
        <v>2131</v>
      </c>
      <c r="I370" s="32" t="s">
        <v>1373</v>
      </c>
      <c r="J370" s="11">
        <v>3</v>
      </c>
      <c r="K370" s="12" t="s">
        <v>2132</v>
      </c>
      <c r="L370" s="33" t="s">
        <v>125</v>
      </c>
      <c r="M370" s="26" t="s">
        <v>2138</v>
      </c>
      <c r="N370" s="26" t="s">
        <v>1718</v>
      </c>
      <c r="O370" s="26" t="s">
        <v>879</v>
      </c>
      <c r="P370" s="26" t="s">
        <v>508</v>
      </c>
      <c r="Q370" s="26" t="s">
        <v>256</v>
      </c>
      <c r="R370" s="26"/>
      <c r="S370" s="26"/>
      <c r="T370" s="26"/>
    </row>
    <row r="371" spans="1:20" s="14" customFormat="1" x14ac:dyDescent="0.25">
      <c r="A371" t="s">
        <v>2139</v>
      </c>
      <c r="B371" s="26" t="s">
        <v>2140</v>
      </c>
      <c r="C371" s="27"/>
      <c r="D371" s="26" t="s">
        <v>2117</v>
      </c>
      <c r="E371" s="26" t="s">
        <v>2117</v>
      </c>
      <c r="F371" s="33"/>
      <c r="G371" s="26" t="s">
        <v>2141</v>
      </c>
      <c r="H371" s="56" t="s">
        <v>2131</v>
      </c>
      <c r="I371" s="32" t="s">
        <v>1373</v>
      </c>
      <c r="J371" s="11">
        <v>4</v>
      </c>
      <c r="K371" s="12" t="s">
        <v>2132</v>
      </c>
      <c r="L371" s="33" t="s">
        <v>2142</v>
      </c>
      <c r="M371" s="26" t="s">
        <v>2143</v>
      </c>
      <c r="N371" s="26" t="s">
        <v>1408</v>
      </c>
      <c r="O371" s="26"/>
      <c r="P371" s="26"/>
      <c r="Q371" s="26"/>
      <c r="R371" s="26"/>
      <c r="S371" s="26"/>
      <c r="T371" s="26"/>
    </row>
    <row r="372" spans="2:20" s="40" customFormat="1" x14ac:dyDescent="0.25">
      <c r="B372" s="42" t="s">
        <v>2144</v>
      </c>
      <c r="C372" s="43"/>
      <c r="D372" s="42" t="s">
        <v>2117</v>
      </c>
      <c r="E372" s="42" t="s">
        <v>2117</v>
      </c>
      <c r="F372" s="44"/>
      <c r="G372" s="42" t="s">
        <v>2145</v>
      </c>
      <c r="H372" s="57">
        <v>10</v>
      </c>
      <c r="I372" s="46"/>
      <c r="J372" s="47">
        <v>0</v>
      </c>
      <c r="K372" s="48" t="s">
        <v>2146</v>
      </c>
      <c r="L372" s="44" t="s">
        <v>2147</v>
      </c>
      <c r="M372" s="42" t="s">
        <v>2148</v>
      </c>
      <c r="N372" s="42"/>
      <c r="O372" s="42"/>
      <c r="P372" s="42"/>
      <c r="Q372" s="42"/>
      <c r="R372" s="42"/>
      <c r="S372" s="42"/>
      <c r="T372" s="42"/>
    </row>
    <row r="373" spans="1:20" s="14" customFormat="1" x14ac:dyDescent="0.25">
      <c r="A373" t="s">
        <v>2149</v>
      </c>
      <c r="B373" s="26" t="s">
        <v>2150</v>
      </c>
      <c r="C373" s="27"/>
      <c r="D373" s="26" t="s">
        <v>2117</v>
      </c>
      <c r="E373" s="26" t="s">
        <v>2117</v>
      </c>
      <c r="F373" s="33"/>
      <c r="G373" s="26" t="s">
        <v>2151</v>
      </c>
      <c r="H373" s="56">
        <v>5</v>
      </c>
      <c r="I373" s="32" t="s">
        <v>2152</v>
      </c>
      <c r="J373" s="11">
        <v>4</v>
      </c>
      <c r="K373" s="12" t="s">
        <v>2125</v>
      </c>
      <c r="L373" s="33" t="s">
        <v>1572</v>
      </c>
      <c r="M373" s="26" t="s">
        <v>2153</v>
      </c>
      <c r="N373" s="26" t="s">
        <v>603</v>
      </c>
      <c r="O373" s="26" t="s">
        <v>2154</v>
      </c>
      <c r="P373" s="26" t="s">
        <v>2155</v>
      </c>
      <c r="Q373" s="26"/>
      <c r="R373" s="26"/>
      <c r="S373" s="26"/>
      <c r="T373" s="26"/>
    </row>
    <row r="374" spans="1:20" s="14" customFormat="1" x14ac:dyDescent="0.25">
      <c r="A374" s="40"/>
      <c r="B374" s="42" t="s">
        <v>2156</v>
      </c>
      <c r="C374" s="43"/>
      <c r="D374" s="42"/>
      <c r="E374" s="42" t="s">
        <v>2117</v>
      </c>
      <c r="F374" s="44"/>
      <c r="G374" s="42" t="s">
        <v>2157</v>
      </c>
      <c r="H374" s="57">
        <v>20</v>
      </c>
      <c r="I374" s="46"/>
      <c r="J374" s="47">
        <v>0</v>
      </c>
      <c r="K374" s="48" t="s">
        <v>2125</v>
      </c>
      <c r="L374" s="44" t="s">
        <v>545</v>
      </c>
      <c r="M374" s="42" t="s">
        <v>2158</v>
      </c>
      <c r="N374" s="42" t="s">
        <v>509</v>
      </c>
      <c r="O374" s="42"/>
      <c r="P374" s="42"/>
      <c r="Q374" s="42"/>
      <c r="R374" s="42"/>
      <c r="S374" s="42"/>
      <c r="T374" s="42"/>
    </row>
    <row r="375" spans="1:20" s="14" customFormat="1" x14ac:dyDescent="0.25">
      <c r="A375" s="40"/>
      <c r="B375" s="42" t="s">
        <v>2159</v>
      </c>
      <c r="C375" s="43"/>
      <c r="D375" s="42"/>
      <c r="E375" s="42" t="s">
        <v>2117</v>
      </c>
      <c r="F375" s="44"/>
      <c r="G375" s="42" t="s">
        <v>2160</v>
      </c>
      <c r="H375" s="57">
        <v>20</v>
      </c>
      <c r="I375" s="46"/>
      <c r="J375" s="47">
        <v>0</v>
      </c>
      <c r="K375" s="48" t="s">
        <v>2125</v>
      </c>
      <c r="L375" s="44" t="s">
        <v>2161</v>
      </c>
      <c r="M375" s="42" t="s">
        <v>666</v>
      </c>
      <c r="N375" s="42" t="s">
        <v>1692</v>
      </c>
      <c r="O375" s="42"/>
      <c r="P375" s="42"/>
      <c r="Q375" s="42"/>
      <c r="R375" s="42"/>
      <c r="S375" s="42"/>
      <c r="T375" s="42"/>
    </row>
    <row r="376" spans="1:20" x14ac:dyDescent="0.25">
      <c r="A376" s="40"/>
      <c r="B376" s="42" t="s">
        <v>2162</v>
      </c>
      <c r="C376" s="43"/>
      <c r="D376" s="42"/>
      <c r="E376" s="42" t="s">
        <v>2117</v>
      </c>
      <c r="F376" s="44"/>
      <c r="G376" s="42" t="s">
        <v>2163</v>
      </c>
      <c r="H376" s="57">
        <v>10</v>
      </c>
      <c r="I376" s="46" t="s">
        <v>2164</v>
      </c>
      <c r="J376" s="47">
        <v>0</v>
      </c>
      <c r="K376" s="48" t="s">
        <v>2125</v>
      </c>
      <c r="L376" s="44" t="s">
        <v>2165</v>
      </c>
      <c r="M376" s="42" t="s">
        <v>188</v>
      </c>
      <c r="N376" s="42" t="s">
        <v>1718</v>
      </c>
      <c r="O376" s="42" t="s">
        <v>2166</v>
      </c>
      <c r="P376" s="42" t="s">
        <v>2166</v>
      </c>
      <c r="Q376" s="42" t="s">
        <v>1901</v>
      </c>
      <c r="R376" s="42"/>
      <c r="S376" s="42"/>
      <c r="T376" s="42"/>
    </row>
    <row r="377" spans="1:20" s="14" customFormat="1" x14ac:dyDescent="0.25">
      <c r="A377" s="40"/>
      <c r="B377" s="42" t="s">
        <v>2167</v>
      </c>
      <c r="C377" s="43">
        <v>0.9</v>
      </c>
      <c r="D377" s="42"/>
      <c r="E377" s="42" t="s">
        <v>2117</v>
      </c>
      <c r="F377" s="44"/>
      <c r="G377" s="42" t="s">
        <v>2168</v>
      </c>
      <c r="H377" s="57">
        <v>24</v>
      </c>
      <c r="I377" s="46" t="s">
        <v>2169</v>
      </c>
      <c r="J377" s="47">
        <v>0</v>
      </c>
      <c r="K377" s="48" t="s">
        <v>1418</v>
      </c>
      <c r="L377" s="44"/>
      <c r="M377" s="42"/>
      <c r="N377" s="42"/>
      <c r="O377" s="42"/>
      <c r="P377" s="42"/>
      <c r="Q377" s="42"/>
      <c r="R377" s="42"/>
      <c r="S377" s="42"/>
      <c r="T377" s="42"/>
    </row>
    <row r="378" spans="2:38" s="40" customFormat="1" x14ac:dyDescent="0.25">
      <c r="B378" s="42" t="s">
        <v>2170</v>
      </c>
      <c r="C378" s="43">
        <v>0.9</v>
      </c>
      <c r="D378" s="42"/>
      <c r="E378" s="42" t="s">
        <v>2117</v>
      </c>
      <c r="F378" s="44"/>
      <c r="G378" s="42" t="s">
        <v>2171</v>
      </c>
      <c r="H378" s="57">
        <v>10</v>
      </c>
      <c r="I378" s="46" t="s">
        <v>2172</v>
      </c>
      <c r="J378" s="47">
        <v>0</v>
      </c>
      <c r="K378" s="48" t="s">
        <v>1418</v>
      </c>
      <c r="L378" s="44" t="s">
        <v>274</v>
      </c>
      <c r="M378" s="42" t="s">
        <v>818</v>
      </c>
      <c r="N378" s="42" t="s">
        <v>880</v>
      </c>
      <c r="O378" s="42" t="s">
        <v>102</v>
      </c>
      <c r="P378" s="42" t="s">
        <v>1055</v>
      </c>
      <c r="Q378" s="42"/>
      <c r="R378" s="42"/>
      <c r="S378" s="42"/>
      <c r="T378" s="42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spans="1:20" x14ac:dyDescent="0.25">
      <c r="A379" s="40"/>
      <c r="B379" s="42" t="s">
        <v>2173</v>
      </c>
      <c r="C379" s="43">
        <v>0.9</v>
      </c>
      <c r="D379" s="42"/>
      <c r="E379" s="42" t="s">
        <v>2117</v>
      </c>
      <c r="F379" s="44"/>
      <c r="G379" s="42" t="s">
        <v>2174</v>
      </c>
      <c r="H379" s="57">
        <v>24</v>
      </c>
      <c r="I379" s="46"/>
      <c r="J379" s="47">
        <v>0</v>
      </c>
      <c r="K379" s="48" t="s">
        <v>2175</v>
      </c>
      <c r="L379" s="44" t="s">
        <v>2176</v>
      </c>
      <c r="M379" s="42" t="s">
        <v>1097</v>
      </c>
      <c r="N379" s="42" t="s">
        <v>2177</v>
      </c>
      <c r="O379" s="42" t="s">
        <v>2115</v>
      </c>
      <c r="P379" s="42" t="s">
        <v>498</v>
      </c>
      <c r="Q379" s="42" t="s">
        <v>1054</v>
      </c>
      <c r="R379" s="42" t="s">
        <v>1223</v>
      </c>
      <c r="S379" s="42" t="s">
        <v>484</v>
      </c>
      <c r="T379" s="42"/>
    </row>
    <row r="380" spans="1:20" s="14" customFormat="1" x14ac:dyDescent="0.25">
      <c r="A380" t="s">
        <v>2178</v>
      </c>
      <c r="B380" s="26" t="s">
        <v>2179</v>
      </c>
      <c r="C380" s="27"/>
      <c r="D380" s="26"/>
      <c r="E380" s="26" t="s">
        <v>2117</v>
      </c>
      <c r="F380" s="33"/>
      <c r="G380" s="26" t="s">
        <v>2180</v>
      </c>
      <c r="H380" s="56">
        <v>20</v>
      </c>
      <c r="I380" s="32"/>
      <c r="J380" s="11">
        <v>7</v>
      </c>
      <c r="K380" s="12" t="s">
        <v>2125</v>
      </c>
      <c r="L380" s="33" t="s">
        <v>2181</v>
      </c>
      <c r="M380" s="26" t="s">
        <v>507</v>
      </c>
      <c r="N380" s="26" t="s">
        <v>1125</v>
      </c>
      <c r="O380" s="26" t="s">
        <v>121</v>
      </c>
      <c r="P380" s="26" t="s">
        <v>2182</v>
      </c>
      <c r="Q380" s="26" t="s">
        <v>426</v>
      </c>
      <c r="R380" s="26"/>
      <c r="S380" s="26"/>
      <c r="T380" s="26"/>
    </row>
    <row r="381" spans="1:20" x14ac:dyDescent="0.25">
      <c r="A381" s="40"/>
      <c r="B381" s="42" t="s">
        <v>2183</v>
      </c>
      <c r="C381" s="43"/>
      <c r="D381" s="42" t="s">
        <v>2117</v>
      </c>
      <c r="E381" s="42" t="s">
        <v>2117</v>
      </c>
      <c r="F381" s="44"/>
      <c r="G381" s="42" t="s">
        <v>2184</v>
      </c>
      <c r="H381" s="57">
        <v>20</v>
      </c>
      <c r="I381" s="46"/>
      <c r="J381" s="47">
        <v>0</v>
      </c>
      <c r="K381" s="48"/>
      <c r="L381" s="44" t="s">
        <v>2185</v>
      </c>
      <c r="M381" s="42" t="s">
        <v>2158</v>
      </c>
      <c r="N381" s="42"/>
      <c r="O381" s="42"/>
      <c r="P381" s="42"/>
      <c r="Q381" s="42"/>
      <c r="R381" s="42"/>
      <c r="S381" s="42"/>
      <c r="T381" s="42"/>
    </row>
    <row r="382" spans="1:20" x14ac:dyDescent="0.25">
      <c r="A382" t="s">
        <v>2186</v>
      </c>
      <c r="B382" s="26" t="s">
        <v>2187</v>
      </c>
      <c r="C382" s="27"/>
      <c r="D382" s="26" t="s">
        <v>2117</v>
      </c>
      <c r="E382" s="26" t="s">
        <v>2117</v>
      </c>
      <c r="F382" s="33"/>
      <c r="G382" s="26" t="s">
        <v>2188</v>
      </c>
      <c r="H382" s="56">
        <v>20</v>
      </c>
      <c r="I382" s="32"/>
      <c r="J382" s="11">
        <v>2</v>
      </c>
      <c r="K382" s="12"/>
      <c r="L382" s="33"/>
      <c r="M382" s="26"/>
      <c r="N382" s="26"/>
      <c r="O382" s="26"/>
      <c r="P382" s="26"/>
      <c r="Q382" s="26"/>
      <c r="R382" s="26"/>
      <c r="S382" s="26"/>
      <c r="T382" s="26"/>
    </row>
    <row r="383" spans="1:20" x14ac:dyDescent="0.25">
      <c r="A383" s="40"/>
      <c r="B383" s="42" t="s">
        <v>2189</v>
      </c>
      <c r="C383" s="43"/>
      <c r="D383" s="42"/>
      <c r="E383" s="42" t="s">
        <v>2117</v>
      </c>
      <c r="F383" s="44"/>
      <c r="G383" s="42" t="s">
        <v>2190</v>
      </c>
      <c r="H383" s="57">
        <v>100</v>
      </c>
      <c r="I383" s="46"/>
      <c r="J383" s="47">
        <v>0</v>
      </c>
      <c r="K383" s="48" t="s">
        <v>2125</v>
      </c>
      <c r="L383" s="44" t="s">
        <v>2191</v>
      </c>
      <c r="M383" s="42" t="s">
        <v>250</v>
      </c>
      <c r="N383" s="42"/>
      <c r="O383" s="42"/>
      <c r="P383" s="42"/>
      <c r="Q383" s="42"/>
      <c r="R383" s="42"/>
      <c r="S383" s="42"/>
      <c r="T383" s="42"/>
    </row>
    <row r="384" spans="1:20" s="14" customFormat="1" x14ac:dyDescent="0.25">
      <c r="A384" t="s">
        <v>2192</v>
      </c>
      <c r="B384" s="26" t="s">
        <v>2193</v>
      </c>
      <c r="C384" s="27"/>
      <c r="D384" s="26"/>
      <c r="E384" s="26" t="s">
        <v>2117</v>
      </c>
      <c r="F384" s="33"/>
      <c r="G384" s="26" t="s">
        <v>2194</v>
      </c>
      <c r="H384" s="56">
        <v>24</v>
      </c>
      <c r="I384" s="32"/>
      <c r="J384" s="11">
        <v>2</v>
      </c>
      <c r="K384" s="12" t="s">
        <v>2125</v>
      </c>
      <c r="L384" s="33" t="s">
        <v>71</v>
      </c>
      <c r="M384" s="26" t="s">
        <v>1470</v>
      </c>
      <c r="N384" s="26" t="s">
        <v>1724</v>
      </c>
      <c r="O384" s="26"/>
      <c r="P384" s="26"/>
      <c r="Q384" s="26"/>
      <c r="R384" s="26"/>
      <c r="S384" s="26"/>
      <c r="T384" s="26"/>
    </row>
    <row r="385" spans="1:20" x14ac:dyDescent="0.25">
      <c r="A385" t="s">
        <v>2195</v>
      </c>
      <c r="B385" s="26" t="s">
        <v>2196</v>
      </c>
      <c r="C385" s="27"/>
      <c r="D385" s="26"/>
      <c r="E385" s="26" t="s">
        <v>2117</v>
      </c>
      <c r="F385" s="33"/>
      <c r="G385" s="26" t="s">
        <v>2197</v>
      </c>
      <c r="H385" s="56">
        <v>24</v>
      </c>
      <c r="I385" s="32"/>
      <c r="J385" s="11">
        <v>1</v>
      </c>
      <c r="K385" s="12" t="s">
        <v>2125</v>
      </c>
      <c r="L385" s="33" t="s">
        <v>71</v>
      </c>
      <c r="M385" s="26" t="s">
        <v>2198</v>
      </c>
      <c r="N385" s="26" t="s">
        <v>1305</v>
      </c>
      <c r="O385" s="26"/>
      <c r="P385" s="26"/>
      <c r="Q385" s="26"/>
      <c r="R385" s="26"/>
      <c r="S385" s="26"/>
      <c r="T385" s="26"/>
    </row>
    <row r="386" spans="1:20" x14ac:dyDescent="0.25">
      <c r="A386" t="s">
        <v>2199</v>
      </c>
      <c r="B386" s="26" t="s">
        <v>2200</v>
      </c>
      <c r="C386" s="27"/>
      <c r="D386" s="26"/>
      <c r="E386" s="26" t="s">
        <v>2117</v>
      </c>
      <c r="F386" s="33"/>
      <c r="G386" s="26" t="s">
        <v>2201</v>
      </c>
      <c r="H386" s="56">
        <v>25</v>
      </c>
      <c r="I386" s="32"/>
      <c r="J386" s="15">
        <v>0</v>
      </c>
      <c r="K386" s="12" t="s">
        <v>2125</v>
      </c>
      <c r="L386" s="33" t="s">
        <v>2202</v>
      </c>
      <c r="M386" s="26" t="s">
        <v>1753</v>
      </c>
      <c r="N386" s="26" t="s">
        <v>102</v>
      </c>
      <c r="O386" s="26" t="s">
        <v>2203</v>
      </c>
      <c r="P386" s="26" t="s">
        <v>171</v>
      </c>
      <c r="Q386" s="26" t="s">
        <v>284</v>
      </c>
      <c r="R386" s="26"/>
      <c r="S386" s="26"/>
      <c r="T386" s="26"/>
    </row>
    <row r="387" spans="1:20" x14ac:dyDescent="0.25">
      <c r="A387" s="40"/>
      <c r="B387" s="42" t="s">
        <v>2204</v>
      </c>
      <c r="C387" s="43"/>
      <c r="D387" s="42" t="s">
        <v>2117</v>
      </c>
      <c r="E387" s="42" t="s">
        <v>2117</v>
      </c>
      <c r="F387" s="44"/>
      <c r="G387" s="42" t="s">
        <v>2205</v>
      </c>
      <c r="H387" s="57">
        <v>24</v>
      </c>
      <c r="I387" s="46"/>
      <c r="J387" s="47">
        <v>0</v>
      </c>
      <c r="K387" s="48"/>
      <c r="L387" s="44" t="s">
        <v>2206</v>
      </c>
      <c r="M387" s="42" t="s">
        <v>2207</v>
      </c>
      <c r="N387" s="42"/>
      <c r="O387" s="42"/>
      <c r="P387" s="42"/>
      <c r="Q387" s="42"/>
      <c r="R387" s="42"/>
      <c r="S387" s="42"/>
      <c r="T387" s="42"/>
    </row>
    <row r="388" spans="2:20" x14ac:dyDescent="0.25">
      <c r="B388" s="26" t="s">
        <v>2208</v>
      </c>
      <c r="C388" s="27"/>
      <c r="D388" s="26" t="s">
        <v>2117</v>
      </c>
      <c r="E388" s="26" t="s">
        <v>2117</v>
      </c>
      <c r="F388" s="33"/>
      <c r="G388" s="26" t="s">
        <v>2209</v>
      </c>
      <c r="H388" s="56" t="s">
        <v>1019</v>
      </c>
      <c r="I388" s="32" t="s">
        <v>1373</v>
      </c>
      <c r="J388" s="11">
        <v>5</v>
      </c>
      <c r="K388" s="12"/>
      <c r="L388" s="145" t="s">
        <v>900</v>
      </c>
      <c r="M388" s="26" t="s">
        <v>2119</v>
      </c>
      <c r="N388" s="26" t="s">
        <v>265</v>
      </c>
      <c r="O388" s="26" t="s">
        <v>2210</v>
      </c>
      <c r="P388" s="26"/>
      <c r="Q388" s="26"/>
      <c r="R388" s="26"/>
      <c r="S388" s="26"/>
      <c r="T388" s="26"/>
    </row>
    <row r="389" spans="1:20" x14ac:dyDescent="0.25">
      <c r="A389" t="s">
        <v>2211</v>
      </c>
      <c r="B389" s="26" t="s">
        <v>2212</v>
      </c>
      <c r="C389" s="27"/>
      <c r="D389" s="26"/>
      <c r="E389" s="26" t="s">
        <v>2117</v>
      </c>
      <c r="F389" s="33"/>
      <c r="G389" s="26" t="s">
        <v>2213</v>
      </c>
      <c r="H389" s="56">
        <v>50</v>
      </c>
      <c r="I389" s="32"/>
      <c r="J389" s="11">
        <v>2</v>
      </c>
      <c r="K389" s="12"/>
      <c r="L389" s="33" t="s">
        <v>545</v>
      </c>
      <c r="M389" s="26" t="s">
        <v>1692</v>
      </c>
      <c r="N389" s="26" t="s">
        <v>85</v>
      </c>
      <c r="O389" s="26"/>
      <c r="P389" s="26"/>
      <c r="Q389" s="26"/>
      <c r="R389" s="26"/>
      <c r="S389" s="26"/>
      <c r="T389" s="26"/>
    </row>
    <row r="390" spans="1:20" x14ac:dyDescent="0.25">
      <c r="A390" t="s">
        <v>638</v>
      </c>
      <c r="B390" s="26" t="s">
        <v>2214</v>
      </c>
      <c r="C390" s="27"/>
      <c r="D390" s="26"/>
      <c r="E390" s="26" t="s">
        <v>2117</v>
      </c>
      <c r="F390" s="33"/>
      <c r="G390" s="180" t="s">
        <v>2215</v>
      </c>
      <c r="H390" s="56">
        <v>5</v>
      </c>
      <c r="I390" s="32"/>
      <c r="J390" s="11">
        <v>3</v>
      </c>
      <c r="K390" s="12" t="s">
        <v>2125</v>
      </c>
      <c r="L390" s="33" t="s">
        <v>2216</v>
      </c>
      <c r="M390" s="26" t="s">
        <v>666</v>
      </c>
      <c r="N390" s="26" t="s">
        <v>2217</v>
      </c>
      <c r="O390" s="26" t="s">
        <v>2218</v>
      </c>
      <c r="P390" s="26"/>
      <c r="Q390" s="26"/>
      <c r="R390" s="26"/>
      <c r="S390" s="26"/>
      <c r="T390" s="26"/>
    </row>
    <row r="391" spans="1:20" x14ac:dyDescent="0.25">
      <c r="A391" s="40" t="s">
        <v>2219</v>
      </c>
      <c r="B391" s="42" t="s">
        <v>2220</v>
      </c>
      <c r="C391" s="43"/>
      <c r="D391" s="42"/>
      <c r="E391" s="42" t="s">
        <v>2117</v>
      </c>
      <c r="F391" s="44"/>
      <c r="G391" s="42" t="s">
        <v>2221</v>
      </c>
      <c r="H391" s="57">
        <v>25</v>
      </c>
      <c r="I391" s="46" t="s">
        <v>2018</v>
      </c>
      <c r="J391" s="47">
        <v>0</v>
      </c>
      <c r="K391" s="48" t="s">
        <v>2125</v>
      </c>
      <c r="L391" s="44" t="s">
        <v>2202</v>
      </c>
      <c r="M391" s="42" t="s">
        <v>2222</v>
      </c>
      <c r="N391" s="42" t="s">
        <v>1207</v>
      </c>
      <c r="O391" s="42"/>
      <c r="P391" s="42"/>
      <c r="Q391" s="42"/>
      <c r="R391" s="42"/>
      <c r="S391" s="42"/>
      <c r="T391" s="42"/>
    </row>
    <row r="392" spans="1:20" x14ac:dyDescent="0.25">
      <c r="A392" s="40"/>
      <c r="B392" s="42" t="s">
        <v>2223</v>
      </c>
      <c r="C392" s="43"/>
      <c r="D392" s="42"/>
      <c r="E392" s="42" t="s">
        <v>2117</v>
      </c>
      <c r="F392" s="44"/>
      <c r="G392" s="42" t="s">
        <v>2224</v>
      </c>
      <c r="H392" s="57">
        <v>5</v>
      </c>
      <c r="I392" s="46"/>
      <c r="J392" s="47">
        <v>0</v>
      </c>
      <c r="K392" s="48" t="s">
        <v>2125</v>
      </c>
      <c r="L392" s="44" t="s">
        <v>2225</v>
      </c>
      <c r="M392" s="42" t="s">
        <v>1403</v>
      </c>
      <c r="N392" s="42" t="s">
        <v>2226</v>
      </c>
      <c r="O392" s="42" t="s">
        <v>2227</v>
      </c>
      <c r="P392" s="42"/>
      <c r="Q392" s="42"/>
      <c r="R392" s="42"/>
      <c r="S392" s="42"/>
      <c r="T392" s="42"/>
    </row>
    <row r="393" spans="2:38" s="40" customFormat="1" x14ac:dyDescent="0.25">
      <c r="B393" s="42" t="s">
        <v>2228</v>
      </c>
      <c r="C393" s="43"/>
      <c r="D393" s="42"/>
      <c r="E393" s="42" t="s">
        <v>2117</v>
      </c>
      <c r="F393" s="44"/>
      <c r="G393" s="42" t="s">
        <v>2229</v>
      </c>
      <c r="H393" s="57">
        <v>5</v>
      </c>
      <c r="I393" s="46"/>
      <c r="J393" s="47">
        <v>0</v>
      </c>
      <c r="K393" s="48" t="s">
        <v>2125</v>
      </c>
      <c r="L393" s="44" t="s">
        <v>1686</v>
      </c>
      <c r="M393" s="42" t="s">
        <v>2119</v>
      </c>
      <c r="N393" s="42" t="s">
        <v>508</v>
      </c>
      <c r="O393" s="42"/>
      <c r="P393" s="42"/>
      <c r="Q393" s="42"/>
      <c r="R393" s="42"/>
      <c r="S393" s="42"/>
      <c r="T393" s="42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 spans="1:20" x14ac:dyDescent="0.25">
      <c r="A394" s="40"/>
      <c r="B394" s="42" t="s">
        <v>2230</v>
      </c>
      <c r="C394" s="43"/>
      <c r="D394" s="42"/>
      <c r="E394" s="42" t="s">
        <v>2117</v>
      </c>
      <c r="F394" s="44"/>
      <c r="G394" s="42" t="s">
        <v>2231</v>
      </c>
      <c r="H394" s="57">
        <v>5</v>
      </c>
      <c r="I394" s="46" t="s">
        <v>2152</v>
      </c>
      <c r="J394" s="47">
        <v>0</v>
      </c>
      <c r="K394" s="48" t="s">
        <v>2125</v>
      </c>
      <c r="L394" s="181"/>
      <c r="M394" s="124" t="s">
        <v>2232</v>
      </c>
      <c r="N394" s="42" t="s">
        <v>2233</v>
      </c>
      <c r="O394" s="42" t="s">
        <v>2153</v>
      </c>
      <c r="P394" s="42" t="s">
        <v>1070</v>
      </c>
      <c r="Q394" s="42" t="s">
        <v>2234</v>
      </c>
      <c r="R394" s="42" t="s">
        <v>986</v>
      </c>
      <c r="S394" s="42" t="s">
        <v>650</v>
      </c>
      <c r="T394" s="42" t="s">
        <v>2235</v>
      </c>
    </row>
    <row r="395" spans="2:38" s="40" customFormat="1" x14ac:dyDescent="0.25">
      <c r="B395" s="42" t="s">
        <v>2236</v>
      </c>
      <c r="C395" s="43"/>
      <c r="D395" s="42"/>
      <c r="E395" s="42" t="s">
        <v>2117</v>
      </c>
      <c r="F395" s="44"/>
      <c r="G395" s="42" t="s">
        <v>2237</v>
      </c>
      <c r="H395" s="57">
        <v>10</v>
      </c>
      <c r="I395" s="46"/>
      <c r="J395" s="47">
        <v>0</v>
      </c>
      <c r="K395" s="48" t="s">
        <v>2125</v>
      </c>
      <c r="L395" s="44" t="s">
        <v>990</v>
      </c>
      <c r="M395" s="42" t="s">
        <v>2238</v>
      </c>
      <c r="N395" s="42" t="s">
        <v>1506</v>
      </c>
      <c r="O395" s="42"/>
      <c r="P395" s="42"/>
      <c r="Q395" s="42"/>
      <c r="R395" s="42"/>
      <c r="S395" s="42"/>
      <c r="T395" s="42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spans="1:38" s="16" customFormat="1" x14ac:dyDescent="0.25">
      <c r="A396" s="40" t="s">
        <v>2239</v>
      </c>
      <c r="B396" s="42" t="s">
        <v>2240</v>
      </c>
      <c r="C396" s="43"/>
      <c r="D396" s="42"/>
      <c r="E396" s="42" t="s">
        <v>2117</v>
      </c>
      <c r="F396" s="44"/>
      <c r="G396" s="42" t="s">
        <v>2241</v>
      </c>
      <c r="H396" s="57">
        <v>10</v>
      </c>
      <c r="I396" s="46"/>
      <c r="J396" s="47">
        <v>0</v>
      </c>
      <c r="K396" s="48" t="s">
        <v>2125</v>
      </c>
      <c r="L396" s="181" t="s">
        <v>704</v>
      </c>
      <c r="M396" s="42" t="s">
        <v>1607</v>
      </c>
      <c r="N396" s="42"/>
      <c r="O396" s="42"/>
      <c r="P396" s="42"/>
      <c r="Q396" s="42"/>
      <c r="R396" s="42"/>
      <c r="S396" s="42"/>
      <c r="T396" s="42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 spans="2:38" s="40" customFormat="1" x14ac:dyDescent="0.25">
      <c r="B397" s="42" t="s">
        <v>2242</v>
      </c>
      <c r="C397" s="43"/>
      <c r="D397" s="42" t="s">
        <v>2117</v>
      </c>
      <c r="E397" s="42" t="s">
        <v>2117</v>
      </c>
      <c r="F397" s="44"/>
      <c r="G397" s="42" t="s">
        <v>2243</v>
      </c>
      <c r="H397" s="57">
        <v>5</v>
      </c>
      <c r="I397" s="46" t="s">
        <v>2152</v>
      </c>
      <c r="J397" s="47">
        <v>0</v>
      </c>
      <c r="K397" s="48"/>
      <c r="L397" s="44" t="s">
        <v>2244</v>
      </c>
      <c r="M397" s="42"/>
      <c r="N397" s="42" t="s">
        <v>2245</v>
      </c>
      <c r="O397" s="42"/>
      <c r="P397" s="42"/>
      <c r="Q397" s="42"/>
      <c r="R397" s="42"/>
      <c r="S397" s="42"/>
      <c r="T397" s="42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spans="1:20" x14ac:dyDescent="0.25">
      <c r="A398" s="40"/>
      <c r="B398" s="42" t="s">
        <v>2246</v>
      </c>
      <c r="C398" s="43"/>
      <c r="D398" s="42" t="s">
        <v>5</v>
      </c>
      <c r="E398" s="42" t="s">
        <v>2117</v>
      </c>
      <c r="F398" s="44"/>
      <c r="G398" s="42" t="s">
        <v>2247</v>
      </c>
      <c r="H398" s="57">
        <v>6</v>
      </c>
      <c r="I398" s="46"/>
      <c r="J398" s="47">
        <v>0</v>
      </c>
      <c r="K398" s="48" t="s">
        <v>2248</v>
      </c>
      <c r="L398" s="44" t="s">
        <v>1200</v>
      </c>
      <c r="M398" s="42" t="s">
        <v>442</v>
      </c>
      <c r="N398" s="42" t="s">
        <v>61</v>
      </c>
      <c r="O398" s="42"/>
      <c r="P398" s="42"/>
      <c r="Q398" s="42" t="s">
        <v>1054</v>
      </c>
      <c r="R398" s="42" t="s">
        <v>1495</v>
      </c>
      <c r="S398" s="42" t="s">
        <v>1002</v>
      </c>
      <c r="T398" s="42" t="s">
        <v>454</v>
      </c>
    </row>
    <row r="399" spans="1:38" s="16" customFormat="1" x14ac:dyDescent="0.25">
      <c r="A399" s="4" t="s">
        <v>2249</v>
      </c>
      <c r="B399" s="26" t="s">
        <v>2250</v>
      </c>
      <c r="C399" s="27"/>
      <c r="D399" s="55" t="s">
        <v>29</v>
      </c>
      <c r="E399" s="26" t="s">
        <v>2251</v>
      </c>
      <c r="F399" s="33"/>
      <c r="G399" s="26" t="s">
        <v>2252</v>
      </c>
      <c r="H399" s="56">
        <v>20</v>
      </c>
      <c r="I399" s="32"/>
      <c r="J399" s="11">
        <v>3</v>
      </c>
      <c r="K399" s="12" t="s">
        <v>1927</v>
      </c>
      <c r="L399" s="33" t="s">
        <v>1788</v>
      </c>
      <c r="M399" s="26" t="s">
        <v>2253</v>
      </c>
      <c r="N399" s="26" t="s">
        <v>247</v>
      </c>
      <c r="O399" s="26" t="s">
        <v>418</v>
      </c>
      <c r="P399" s="26" t="s">
        <v>806</v>
      </c>
      <c r="Q399" s="26" t="s">
        <v>213</v>
      </c>
      <c r="R399" s="26"/>
      <c r="S399" s="26" t="s">
        <v>109</v>
      </c>
      <c r="T399" s="26" t="s">
        <v>1185</v>
      </c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spans="2:20" x14ac:dyDescent="0.25">
      <c r="B400" s="26" t="s">
        <v>2254</v>
      </c>
      <c r="C400" s="27"/>
      <c r="D400" s="55" t="s">
        <v>29</v>
      </c>
      <c r="E400" s="26" t="s">
        <v>2251</v>
      </c>
      <c r="F400" s="33"/>
      <c r="G400" s="26" t="s">
        <v>2255</v>
      </c>
      <c r="H400" s="56">
        <v>10</v>
      </c>
      <c r="I400" s="32" t="s">
        <v>2256</v>
      </c>
      <c r="J400" s="47">
        <v>0</v>
      </c>
      <c r="K400" s="12" t="s">
        <v>2257</v>
      </c>
      <c r="L400" s="33" t="s">
        <v>1251</v>
      </c>
      <c r="M400" s="26" t="s">
        <v>2258</v>
      </c>
      <c r="N400" s="26" t="s">
        <v>1289</v>
      </c>
      <c r="O400" s="26" t="s">
        <v>2259</v>
      </c>
      <c r="P400" s="26" t="s">
        <v>2260</v>
      </c>
      <c r="Q400" s="26" t="s">
        <v>2261</v>
      </c>
      <c r="R400" s="26" t="s">
        <v>358</v>
      </c>
      <c r="S400" s="26"/>
      <c r="T400" s="26"/>
    </row>
    <row r="401" spans="1:20" x14ac:dyDescent="0.25">
      <c r="A401" s="4" t="s">
        <v>2262</v>
      </c>
      <c r="B401" s="26" t="s">
        <v>2263</v>
      </c>
      <c r="C401" s="27"/>
      <c r="D401" s="55" t="s">
        <v>29</v>
      </c>
      <c r="E401" s="26" t="s">
        <v>2251</v>
      </c>
      <c r="F401" s="33"/>
      <c r="G401" s="26" t="s">
        <v>2264</v>
      </c>
      <c r="H401" s="56">
        <v>30</v>
      </c>
      <c r="I401" s="32" t="s">
        <v>532</v>
      </c>
      <c r="J401" s="15">
        <v>1</v>
      </c>
      <c r="K401" s="12" t="s">
        <v>733</v>
      </c>
      <c r="L401" s="33" t="s">
        <v>2265</v>
      </c>
      <c r="M401" s="26" t="s">
        <v>43</v>
      </c>
      <c r="N401" s="26" t="s">
        <v>1474</v>
      </c>
      <c r="O401" s="26" t="s">
        <v>464</v>
      </c>
      <c r="P401" s="26"/>
      <c r="Q401" s="26" t="s">
        <v>2266</v>
      </c>
      <c r="R401" s="26" t="s">
        <v>2267</v>
      </c>
      <c r="S401" s="26" t="s">
        <v>497</v>
      </c>
      <c r="T401" s="26" t="s">
        <v>958</v>
      </c>
    </row>
    <row r="402" spans="1:20" x14ac:dyDescent="0.25">
      <c r="A402" t="s">
        <v>2268</v>
      </c>
      <c r="B402" s="120" t="s">
        <v>2269</v>
      </c>
      <c r="C402" s="121">
        <v>9</v>
      </c>
      <c r="D402" s="101" t="s">
        <v>29</v>
      </c>
      <c r="E402" s="6" t="s">
        <v>2251</v>
      </c>
      <c r="F402" s="8"/>
      <c r="G402" s="182" t="s">
        <v>2270</v>
      </c>
      <c r="H402" s="9">
        <v>20</v>
      </c>
      <c r="I402" s="10"/>
      <c r="J402" s="51">
        <v>7</v>
      </c>
      <c r="K402" s="52" t="s">
        <v>574</v>
      </c>
      <c r="L402" s="8" t="s">
        <v>1205</v>
      </c>
      <c r="M402" s="6"/>
      <c r="N402" s="6" t="s">
        <v>112</v>
      </c>
      <c r="O402" s="6" t="s">
        <v>721</v>
      </c>
      <c r="P402" s="6" t="s">
        <v>255</v>
      </c>
      <c r="Q402" s="6" t="s">
        <v>418</v>
      </c>
      <c r="R402" s="6" t="s">
        <v>472</v>
      </c>
      <c r="S402" s="6" t="s">
        <v>1483</v>
      </c>
      <c r="T402" s="6" t="s">
        <v>66</v>
      </c>
    </row>
    <row r="403" spans="1:20" x14ac:dyDescent="0.25">
      <c r="A403" t="s">
        <v>638</v>
      </c>
      <c r="B403" s="26" t="s">
        <v>2271</v>
      </c>
      <c r="C403" s="27"/>
      <c r="D403" s="28" t="s">
        <v>5</v>
      </c>
      <c r="E403" s="29" t="s">
        <v>2272</v>
      </c>
      <c r="F403" s="30"/>
      <c r="G403" s="26" t="s">
        <v>2273</v>
      </c>
      <c r="H403" s="31">
        <v>12</v>
      </c>
      <c r="I403" s="32"/>
      <c r="J403" s="15">
        <v>0</v>
      </c>
      <c r="K403" s="12" t="s">
        <v>2274</v>
      </c>
      <c r="L403" s="33" t="s">
        <v>647</v>
      </c>
      <c r="M403" s="26" t="s">
        <v>2275</v>
      </c>
      <c r="N403" s="26" t="s">
        <v>86</v>
      </c>
      <c r="O403" s="26" t="s">
        <v>830</v>
      </c>
      <c r="P403" s="26" t="s">
        <v>1323</v>
      </c>
      <c r="Q403" s="26" t="s">
        <v>2276</v>
      </c>
      <c r="R403" s="26"/>
      <c r="S403" s="26"/>
      <c r="T403" s="26"/>
    </row>
    <row r="404" spans="1:38" s="40" customFormat="1" x14ac:dyDescent="0.25">
      <c r="A404" t="s">
        <v>2277</v>
      </c>
      <c r="B404" s="26" t="s">
        <v>2278</v>
      </c>
      <c r="C404" s="27">
        <v>8.1</v>
      </c>
      <c r="D404" s="28" t="s">
        <v>5</v>
      </c>
      <c r="E404" s="29" t="s">
        <v>2272</v>
      </c>
      <c r="F404" s="30"/>
      <c r="G404" s="26" t="s">
        <v>2279</v>
      </c>
      <c r="H404" s="31">
        <v>20</v>
      </c>
      <c r="I404" s="32"/>
      <c r="J404" s="11">
        <v>2</v>
      </c>
      <c r="K404" s="12" t="s">
        <v>2280</v>
      </c>
      <c r="L404" s="33" t="s">
        <v>1116</v>
      </c>
      <c r="M404" s="26" t="s">
        <v>9</v>
      </c>
      <c r="N404" s="26" t="s">
        <v>509</v>
      </c>
      <c r="O404" s="26" t="s">
        <v>1357</v>
      </c>
      <c r="P404" s="26" t="s">
        <v>2281</v>
      </c>
      <c r="Q404" s="26" t="s">
        <v>135</v>
      </c>
      <c r="R404" s="26"/>
      <c r="S404" s="26"/>
      <c r="T404" s="26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spans="1:20" x14ac:dyDescent="0.25">
      <c r="A405" t="s">
        <v>2282</v>
      </c>
      <c r="B405" s="26" t="s">
        <v>2283</v>
      </c>
      <c r="C405" s="27"/>
      <c r="D405" s="28" t="s">
        <v>5</v>
      </c>
      <c r="E405" s="29" t="s">
        <v>2272</v>
      </c>
      <c r="F405" s="30"/>
      <c r="G405" s="26" t="s">
        <v>2284</v>
      </c>
      <c r="H405" s="31">
        <v>20</v>
      </c>
      <c r="I405" s="32"/>
      <c r="J405" s="11">
        <v>3</v>
      </c>
      <c r="K405" s="12" t="s">
        <v>2285</v>
      </c>
      <c r="L405" s="33" t="s">
        <v>1040</v>
      </c>
      <c r="M405" s="26" t="s">
        <v>121</v>
      </c>
      <c r="N405" s="26"/>
      <c r="O405" s="26" t="s">
        <v>951</v>
      </c>
      <c r="P405" s="26" t="s">
        <v>1833</v>
      </c>
      <c r="Q405" s="26" t="s">
        <v>1357</v>
      </c>
      <c r="R405" s="26" t="s">
        <v>958</v>
      </c>
      <c r="S405" s="26" t="s">
        <v>734</v>
      </c>
      <c r="T405" s="26" t="s">
        <v>255</v>
      </c>
    </row>
    <row r="406" spans="1:20" s="16" customFormat="1" x14ac:dyDescent="0.25">
      <c r="A406" s="16" t="s">
        <v>2286</v>
      </c>
      <c r="B406" s="17" t="s">
        <v>2287</v>
      </c>
      <c r="C406" s="18">
        <v>9</v>
      </c>
      <c r="D406" s="19" t="s">
        <v>5</v>
      </c>
      <c r="E406" s="20" t="s">
        <v>2272</v>
      </c>
      <c r="F406" s="21"/>
      <c r="G406" s="17" t="s">
        <v>2288</v>
      </c>
      <c r="H406" s="22">
        <v>20</v>
      </c>
      <c r="I406" s="23"/>
      <c r="J406" s="15">
        <v>0</v>
      </c>
      <c r="K406" s="24" t="s">
        <v>899</v>
      </c>
      <c r="L406" s="25" t="s">
        <v>1040</v>
      </c>
      <c r="M406" s="17" t="s">
        <v>66</v>
      </c>
      <c r="N406" s="17" t="s">
        <v>1969</v>
      </c>
      <c r="O406" s="17" t="s">
        <v>951</v>
      </c>
      <c r="P406" s="17" t="s">
        <v>1833</v>
      </c>
      <c r="Q406" s="17" t="s">
        <v>1357</v>
      </c>
      <c r="R406" s="17" t="s">
        <v>958</v>
      </c>
      <c r="S406" s="17" t="s">
        <v>734</v>
      </c>
      <c r="T406" s="17" t="s">
        <v>255</v>
      </c>
    </row>
    <row r="407" spans="1:38" s="40" customFormat="1" x14ac:dyDescent="0.25">
      <c r="A407" s="4" t="s">
        <v>2289</v>
      </c>
      <c r="B407" s="55" t="s">
        <v>2290</v>
      </c>
      <c r="C407" s="183">
        <v>6.8</v>
      </c>
      <c r="D407" s="55" t="s">
        <v>29</v>
      </c>
      <c r="E407" s="55" t="s">
        <v>2272</v>
      </c>
      <c r="F407" s="60"/>
      <c r="G407" s="55" t="s">
        <v>2291</v>
      </c>
      <c r="H407" s="61">
        <v>20</v>
      </c>
      <c r="I407" s="62"/>
      <c r="J407" s="63">
        <v>0</v>
      </c>
      <c r="K407" s="12" t="s">
        <v>2292</v>
      </c>
      <c r="L407" s="33" t="s">
        <v>682</v>
      </c>
      <c r="M407" s="26" t="s">
        <v>589</v>
      </c>
      <c r="N407" s="26" t="s">
        <v>1244</v>
      </c>
      <c r="O407" s="26" t="s">
        <v>1040</v>
      </c>
      <c r="P407" s="26" t="s">
        <v>895</v>
      </c>
      <c r="Q407" s="26"/>
      <c r="R407" s="26"/>
      <c r="S407" s="26"/>
      <c r="T407" s="26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spans="1:38" s="40" customFormat="1" x14ac:dyDescent="0.25">
      <c r="A408" s="4" t="s">
        <v>2293</v>
      </c>
      <c r="B408" s="26" t="s">
        <v>2294</v>
      </c>
      <c r="C408" s="35">
        <v>8.1</v>
      </c>
      <c r="D408" s="26" t="s">
        <v>29</v>
      </c>
      <c r="E408" s="29" t="s">
        <v>2272</v>
      </c>
      <c r="F408" s="30" t="s">
        <v>799</v>
      </c>
      <c r="G408" s="26" t="s">
        <v>2295</v>
      </c>
      <c r="H408" s="31">
        <v>20</v>
      </c>
      <c r="I408" s="32" t="s">
        <v>2296</v>
      </c>
      <c r="J408" s="11">
        <v>2</v>
      </c>
      <c r="K408" s="12" t="s">
        <v>899</v>
      </c>
      <c r="L408" s="33" t="s">
        <v>284</v>
      </c>
      <c r="M408" s="26"/>
      <c r="N408" s="26" t="s">
        <v>1931</v>
      </c>
      <c r="O408" s="26" t="s">
        <v>472</v>
      </c>
      <c r="P408" s="26" t="s">
        <v>1619</v>
      </c>
      <c r="Q408" s="26" t="s">
        <v>169</v>
      </c>
      <c r="R408" s="26" t="s">
        <v>338</v>
      </c>
      <c r="S408" s="26" t="s">
        <v>660</v>
      </c>
      <c r="T408" s="26" t="s">
        <v>895</v>
      </c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 spans="1:20" x14ac:dyDescent="0.25">
      <c r="A409" t="s">
        <v>2297</v>
      </c>
      <c r="B409" s="6" t="s">
        <v>2298</v>
      </c>
      <c r="C409" s="7">
        <v>7.2</v>
      </c>
      <c r="D409" s="6" t="s">
        <v>29</v>
      </c>
      <c r="E409" s="74" t="s">
        <v>2272</v>
      </c>
      <c r="F409" s="75"/>
      <c r="G409" s="6" t="s">
        <v>2299</v>
      </c>
      <c r="H409" s="50">
        <v>20</v>
      </c>
      <c r="I409" s="10"/>
      <c r="J409" s="51">
        <v>7</v>
      </c>
      <c r="K409" s="52" t="s">
        <v>168</v>
      </c>
      <c r="L409" s="8" t="s">
        <v>1619</v>
      </c>
      <c r="M409" s="6" t="s">
        <v>219</v>
      </c>
      <c r="N409" s="6" t="s">
        <v>338</v>
      </c>
      <c r="O409" s="6" t="s">
        <v>1431</v>
      </c>
      <c r="P409" s="6" t="s">
        <v>736</v>
      </c>
      <c r="Q409" s="6"/>
      <c r="R409" s="6" t="s">
        <v>2300</v>
      </c>
      <c r="S409" s="6" t="s">
        <v>1391</v>
      </c>
      <c r="T409" s="6" t="s">
        <v>599</v>
      </c>
    </row>
    <row r="410" spans="1:38" s="40" customFormat="1" x14ac:dyDescent="0.25">
      <c r="A410" s="16"/>
      <c r="B410" s="99" t="s">
        <v>2301</v>
      </c>
      <c r="C410" s="184">
        <v>8.5</v>
      </c>
      <c r="D410" s="99" t="s">
        <v>29</v>
      </c>
      <c r="E410" s="99" t="s">
        <v>2272</v>
      </c>
      <c r="F410" s="185"/>
      <c r="G410" s="99" t="s">
        <v>2302</v>
      </c>
      <c r="H410" s="172">
        <v>20</v>
      </c>
      <c r="I410" s="23" t="s">
        <v>2303</v>
      </c>
      <c r="J410" s="63">
        <v>0</v>
      </c>
      <c r="K410" s="24" t="s">
        <v>2304</v>
      </c>
      <c r="L410" s="25"/>
      <c r="M410" s="17"/>
      <c r="N410" s="17"/>
      <c r="O410" s="17"/>
      <c r="P410" s="17"/>
      <c r="Q410" s="17"/>
      <c r="R410" s="17"/>
      <c r="S410" s="17"/>
      <c r="T410" s="17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spans="1:38" s="40" customFormat="1" x14ac:dyDescent="0.25">
      <c r="A411" t="s">
        <v>2305</v>
      </c>
      <c r="B411" s="55" t="s">
        <v>2306</v>
      </c>
      <c r="C411" s="183">
        <v>7.4</v>
      </c>
      <c r="D411" s="55" t="s">
        <v>29</v>
      </c>
      <c r="E411" s="55" t="s">
        <v>2272</v>
      </c>
      <c r="F411" s="60"/>
      <c r="G411" s="55" t="s">
        <v>2307</v>
      </c>
      <c r="H411" s="61">
        <v>20</v>
      </c>
      <c r="I411" s="62"/>
      <c r="J411" s="105">
        <v>10</v>
      </c>
      <c r="K411" s="12" t="s">
        <v>1236</v>
      </c>
      <c r="L411" s="8" t="s">
        <v>2308</v>
      </c>
      <c r="M411" s="6" t="s">
        <v>952</v>
      </c>
      <c r="N411" s="26" t="s">
        <v>293</v>
      </c>
      <c r="O411" s="6" t="s">
        <v>501</v>
      </c>
      <c r="P411" s="6" t="s">
        <v>2309</v>
      </c>
      <c r="Q411" s="6" t="s">
        <v>958</v>
      </c>
      <c r="R411" s="6" t="s">
        <v>1223</v>
      </c>
      <c r="S411" s="6" t="s">
        <v>119</v>
      </c>
      <c r="T411" s="6" t="s">
        <v>285</v>
      </c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spans="1:38" s="40" customFormat="1" x14ac:dyDescent="0.25">
      <c r="A412" t="s">
        <v>638</v>
      </c>
      <c r="B412" s="55" t="s">
        <v>2310</v>
      </c>
      <c r="C412" s="166">
        <v>9.3</v>
      </c>
      <c r="D412" s="55" t="s">
        <v>29</v>
      </c>
      <c r="E412" s="55" t="s">
        <v>2272</v>
      </c>
      <c r="F412" s="60"/>
      <c r="G412" s="6" t="s">
        <v>2311</v>
      </c>
      <c r="H412" s="61">
        <v>17</v>
      </c>
      <c r="I412" s="62"/>
      <c r="J412" s="105">
        <v>3</v>
      </c>
      <c r="K412" s="12" t="s">
        <v>2312</v>
      </c>
      <c r="L412" s="8" t="s">
        <v>292</v>
      </c>
      <c r="M412" s="6" t="s">
        <v>895</v>
      </c>
      <c r="N412" s="26" t="s">
        <v>461</v>
      </c>
      <c r="O412" s="6" t="s">
        <v>554</v>
      </c>
      <c r="P412" s="6"/>
      <c r="Q412" s="6"/>
      <c r="R412" s="6"/>
      <c r="S412" s="6"/>
      <c r="T412" s="6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 spans="1:38" s="40" customFormat="1" x14ac:dyDescent="0.25">
      <c r="A413" t="s">
        <v>2313</v>
      </c>
      <c r="B413" s="26" t="s">
        <v>2314</v>
      </c>
      <c r="C413" s="35">
        <v>12.1</v>
      </c>
      <c r="D413" s="28" t="s">
        <v>29</v>
      </c>
      <c r="E413" s="29" t="s">
        <v>2272</v>
      </c>
      <c r="F413" s="30"/>
      <c r="G413" s="26" t="s">
        <v>2315</v>
      </c>
      <c r="H413" s="31">
        <v>23</v>
      </c>
      <c r="I413" s="32"/>
      <c r="J413" s="11">
        <v>5</v>
      </c>
      <c r="K413" s="34" t="s">
        <v>552</v>
      </c>
      <c r="L413" s="33" t="s">
        <v>2316</v>
      </c>
      <c r="M413" s="26" t="s">
        <v>171</v>
      </c>
      <c r="N413" s="26" t="s">
        <v>213</v>
      </c>
      <c r="O413" s="26" t="s">
        <v>667</v>
      </c>
      <c r="P413" s="26" t="s">
        <v>426</v>
      </c>
      <c r="Q413" s="26" t="s">
        <v>736</v>
      </c>
      <c r="R413" s="26"/>
      <c r="S413" s="28" t="s">
        <v>673</v>
      </c>
      <c r="T413" s="26" t="s">
        <v>338</v>
      </c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spans="2:38" s="40" customFormat="1" x14ac:dyDescent="0.25">
      <c r="B414" s="26" t="s">
        <v>2317</v>
      </c>
      <c r="C414" s="27">
        <v>6</v>
      </c>
      <c r="D414" s="28" t="s">
        <v>5</v>
      </c>
      <c r="E414" s="29" t="s">
        <v>2272</v>
      </c>
      <c r="F414" s="30"/>
      <c r="G414" s="17" t="s">
        <v>2318</v>
      </c>
      <c r="H414" s="22">
        <v>22</v>
      </c>
      <c r="I414" s="23" t="s">
        <v>2319</v>
      </c>
      <c r="J414" s="15">
        <v>0</v>
      </c>
      <c r="K414" s="56" t="s">
        <v>2320</v>
      </c>
      <c r="L414" s="33" t="s">
        <v>539</v>
      </c>
      <c r="M414" s="26" t="s">
        <v>698</v>
      </c>
      <c r="N414" s="26" t="s">
        <v>234</v>
      </c>
      <c r="O414" s="26" t="s">
        <v>728</v>
      </c>
      <c r="P414" s="26" t="s">
        <v>753</v>
      </c>
      <c r="Q414" s="26"/>
      <c r="R414" s="26"/>
      <c r="S414" s="26"/>
      <c r="T414" s="26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spans="2:38" s="40" customFormat="1" x14ac:dyDescent="0.25">
      <c r="B415" s="26" t="s">
        <v>2321</v>
      </c>
      <c r="C415" s="27">
        <v>6</v>
      </c>
      <c r="D415" s="28" t="s">
        <v>5</v>
      </c>
      <c r="E415" s="29" t="s">
        <v>2272</v>
      </c>
      <c r="F415" s="30"/>
      <c r="G415" s="17" t="s">
        <v>2322</v>
      </c>
      <c r="H415" s="22">
        <v>22</v>
      </c>
      <c r="I415" s="23"/>
      <c r="J415" s="15">
        <v>0</v>
      </c>
      <c r="K415" s="56" t="s">
        <v>2320</v>
      </c>
      <c r="L415" s="33" t="s">
        <v>539</v>
      </c>
      <c r="M415" s="26" t="s">
        <v>698</v>
      </c>
      <c r="N415" s="26" t="s">
        <v>119</v>
      </c>
      <c r="O415" s="26" t="s">
        <v>436</v>
      </c>
      <c r="P415" s="26" t="s">
        <v>379</v>
      </c>
      <c r="Q415" s="26"/>
      <c r="R415" s="26"/>
      <c r="S415" s="26"/>
      <c r="T415" s="26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spans="1:20" s="14" customFormat="1" x14ac:dyDescent="0.25">
      <c r="A416" t="s">
        <v>2323</v>
      </c>
      <c r="B416" s="26" t="s">
        <v>2324</v>
      </c>
      <c r="C416" s="27">
        <v>8.1</v>
      </c>
      <c r="D416" s="28" t="s">
        <v>29</v>
      </c>
      <c r="E416" s="29" t="s">
        <v>2272</v>
      </c>
      <c r="F416" s="30"/>
      <c r="G416" s="26" t="s">
        <v>2325</v>
      </c>
      <c r="H416" s="31">
        <v>23</v>
      </c>
      <c r="I416" s="32" t="s">
        <v>2326</v>
      </c>
      <c r="J416" s="11">
        <v>1</v>
      </c>
      <c r="K416" s="56" t="s">
        <v>211</v>
      </c>
      <c r="L416" s="33" t="s">
        <v>370</v>
      </c>
      <c r="M416" s="26" t="s">
        <v>1619</v>
      </c>
      <c r="N416" s="26" t="s">
        <v>1891</v>
      </c>
      <c r="O416" s="26" t="s">
        <v>174</v>
      </c>
      <c r="P416" s="26" t="s">
        <v>2327</v>
      </c>
      <c r="Q416" s="26" t="s">
        <v>1431</v>
      </c>
      <c r="R416" s="26" t="s">
        <v>284</v>
      </c>
      <c r="S416" s="26" t="s">
        <v>1530</v>
      </c>
      <c r="T416" s="26"/>
    </row>
    <row r="417" spans="1:20" x14ac:dyDescent="0.25">
      <c r="A417" t="s">
        <v>2328</v>
      </c>
      <c r="B417" s="26" t="s">
        <v>2329</v>
      </c>
      <c r="C417" s="35">
        <v>8.1</v>
      </c>
      <c r="D417" s="26" t="s">
        <v>29</v>
      </c>
      <c r="E417" s="26" t="s">
        <v>2272</v>
      </c>
      <c r="F417" s="33"/>
      <c r="G417" s="26" t="s">
        <v>2330</v>
      </c>
      <c r="H417" s="31">
        <v>5</v>
      </c>
      <c r="I417" s="32"/>
      <c r="J417" s="11">
        <v>9</v>
      </c>
      <c r="K417" s="12" t="s">
        <v>894</v>
      </c>
      <c r="L417" s="33" t="s">
        <v>2327</v>
      </c>
      <c r="M417" s="26" t="s">
        <v>284</v>
      </c>
      <c r="N417" s="26" t="s">
        <v>2331</v>
      </c>
      <c r="O417" s="26" t="s">
        <v>292</v>
      </c>
      <c r="P417" s="26"/>
      <c r="Q417" s="26"/>
      <c r="R417" s="26"/>
      <c r="S417" s="26"/>
      <c r="T417" s="26"/>
    </row>
    <row r="418" spans="1:20" s="14" customFormat="1" x14ac:dyDescent="0.25">
      <c r="A418" t="s">
        <v>2332</v>
      </c>
      <c r="B418" s="26" t="s">
        <v>2333</v>
      </c>
      <c r="C418" s="35">
        <v>7.2</v>
      </c>
      <c r="D418" s="26" t="s">
        <v>29</v>
      </c>
      <c r="E418" s="26" t="s">
        <v>2272</v>
      </c>
      <c r="F418" s="33"/>
      <c r="G418" s="26" t="s">
        <v>2334</v>
      </c>
      <c r="H418" s="31">
        <v>6</v>
      </c>
      <c r="I418" s="32" t="s">
        <v>1257</v>
      </c>
      <c r="J418" s="11">
        <v>5</v>
      </c>
      <c r="K418" s="12" t="s">
        <v>2335</v>
      </c>
      <c r="L418" s="33" t="s">
        <v>2336</v>
      </c>
      <c r="M418" s="26" t="s">
        <v>274</v>
      </c>
      <c r="N418" s="26" t="s">
        <v>1065</v>
      </c>
      <c r="O418" s="26" t="s">
        <v>734</v>
      </c>
      <c r="P418" s="26" t="s">
        <v>85</v>
      </c>
      <c r="Q418" s="26" t="s">
        <v>1244</v>
      </c>
      <c r="R418" s="26" t="s">
        <v>651</v>
      </c>
      <c r="S418" s="26" t="s">
        <v>613</v>
      </c>
      <c r="T418" s="26" t="s">
        <v>212</v>
      </c>
    </row>
    <row r="419" spans="1:20" s="14" customFormat="1" x14ac:dyDescent="0.25">
      <c r="A419" t="s">
        <v>2337</v>
      </c>
      <c r="B419" s="26" t="s">
        <v>2338</v>
      </c>
      <c r="C419" s="7">
        <v>9</v>
      </c>
      <c r="D419" s="28" t="s">
        <v>5</v>
      </c>
      <c r="E419" s="26" t="s">
        <v>2272</v>
      </c>
      <c r="F419" s="33"/>
      <c r="G419" s="26" t="s">
        <v>2339</v>
      </c>
      <c r="H419" s="31">
        <v>20</v>
      </c>
      <c r="I419" s="32"/>
      <c r="J419" s="11">
        <v>4</v>
      </c>
      <c r="K419" s="12" t="s">
        <v>1370</v>
      </c>
      <c r="L419" s="33" t="s">
        <v>1897</v>
      </c>
      <c r="M419" s="26" t="s">
        <v>75</v>
      </c>
      <c r="N419" s="26" t="s">
        <v>1530</v>
      </c>
      <c r="O419" s="26" t="s">
        <v>736</v>
      </c>
      <c r="P419" s="26"/>
      <c r="Q419" s="26"/>
      <c r="R419" s="26"/>
      <c r="S419" s="26"/>
      <c r="T419" s="26"/>
    </row>
    <row r="420" spans="1:20" s="14" customFormat="1" x14ac:dyDescent="0.25">
      <c r="A420" t="s">
        <v>2340</v>
      </c>
      <c r="B420" s="26" t="s">
        <v>2341</v>
      </c>
      <c r="C420" s="7">
        <v>9.9</v>
      </c>
      <c r="D420" s="28" t="s">
        <v>5</v>
      </c>
      <c r="E420" s="26" t="s">
        <v>2272</v>
      </c>
      <c r="F420" s="33"/>
      <c r="G420" s="26" t="s">
        <v>2342</v>
      </c>
      <c r="H420" s="31">
        <v>20</v>
      </c>
      <c r="I420" s="32"/>
      <c r="J420" s="15">
        <v>1</v>
      </c>
      <c r="K420" s="12" t="s">
        <v>1220</v>
      </c>
      <c r="L420" s="33" t="s">
        <v>258</v>
      </c>
      <c r="M420" s="26" t="s">
        <v>1530</v>
      </c>
      <c r="N420" s="26" t="s">
        <v>148</v>
      </c>
      <c r="O420" s="26"/>
      <c r="P420" s="26"/>
      <c r="Q420" s="26"/>
      <c r="R420" s="26"/>
      <c r="S420" s="26"/>
      <c r="T420" s="26"/>
    </row>
    <row r="421" spans="1:20" s="14" customFormat="1" x14ac:dyDescent="0.25">
      <c r="A421" t="s">
        <v>2343</v>
      </c>
      <c r="B421" s="26" t="s">
        <v>2344</v>
      </c>
      <c r="C421" s="7">
        <v>7.1</v>
      </c>
      <c r="D421" s="28" t="s">
        <v>5</v>
      </c>
      <c r="E421" s="26" t="s">
        <v>2272</v>
      </c>
      <c r="F421" s="33"/>
      <c r="G421" s="26" t="s">
        <v>2345</v>
      </c>
      <c r="H421" s="31">
        <v>20</v>
      </c>
      <c r="I421" s="32"/>
      <c r="J421" s="11">
        <v>8</v>
      </c>
      <c r="K421" s="12" t="s">
        <v>1370</v>
      </c>
      <c r="L421" s="33" t="s">
        <v>258</v>
      </c>
      <c r="M421" s="26" t="s">
        <v>403</v>
      </c>
      <c r="N421" s="26"/>
      <c r="O421" s="26"/>
      <c r="P421" s="26"/>
      <c r="Q421" s="26"/>
      <c r="R421" s="26"/>
      <c r="S421" s="26"/>
      <c r="T421" s="26"/>
    </row>
    <row r="422" spans="2:20" s="40" customFormat="1" x14ac:dyDescent="0.25">
      <c r="B422" s="42" t="s">
        <v>2346</v>
      </c>
      <c r="C422" s="43"/>
      <c r="D422" s="124" t="s">
        <v>29</v>
      </c>
      <c r="E422" s="106" t="s">
        <v>2272</v>
      </c>
      <c r="F422" s="87"/>
      <c r="G422" s="42" t="s">
        <v>2347</v>
      </c>
      <c r="H422" s="45">
        <v>20</v>
      </c>
      <c r="I422" s="46"/>
      <c r="J422" s="47">
        <v>0</v>
      </c>
      <c r="K422" s="48" t="s">
        <v>2348</v>
      </c>
      <c r="L422" s="44" t="s">
        <v>2349</v>
      </c>
      <c r="M422" s="42" t="s">
        <v>666</v>
      </c>
      <c r="N422" s="42"/>
      <c r="O422" s="42"/>
      <c r="P422" s="42"/>
      <c r="Q422" s="42"/>
      <c r="R422" s="42"/>
      <c r="S422" s="42"/>
      <c r="T422" s="42"/>
    </row>
    <row r="423" spans="1:20" x14ac:dyDescent="0.25">
      <c r="A423" s="4"/>
      <c r="B423" s="26" t="s">
        <v>2350</v>
      </c>
      <c r="C423" s="27"/>
      <c r="D423" s="28" t="s">
        <v>29</v>
      </c>
      <c r="E423" s="29" t="s">
        <v>2272</v>
      </c>
      <c r="F423" s="30"/>
      <c r="G423" s="26" t="s">
        <v>2351</v>
      </c>
      <c r="H423" s="31">
        <v>20</v>
      </c>
      <c r="I423" s="32" t="s">
        <v>2303</v>
      </c>
      <c r="J423" s="15">
        <v>0</v>
      </c>
      <c r="K423" s="12" t="s">
        <v>367</v>
      </c>
      <c r="L423" s="33" t="s">
        <v>1245</v>
      </c>
      <c r="M423" s="26" t="s">
        <v>282</v>
      </c>
      <c r="N423" s="26" t="s">
        <v>1386</v>
      </c>
      <c r="O423" s="26"/>
      <c r="P423" s="26"/>
      <c r="Q423" s="26"/>
      <c r="R423" s="26"/>
      <c r="S423" s="26"/>
      <c r="T423" s="26"/>
    </row>
    <row r="424" spans="1:20" x14ac:dyDescent="0.25">
      <c r="A424" t="s">
        <v>2352</v>
      </c>
      <c r="B424" s="26" t="s">
        <v>2353</v>
      </c>
      <c r="C424" s="27">
        <v>8.2</v>
      </c>
      <c r="D424" s="28" t="s">
        <v>29</v>
      </c>
      <c r="E424" s="29" t="s">
        <v>2272</v>
      </c>
      <c r="F424" s="30"/>
      <c r="G424" s="26" t="s">
        <v>2354</v>
      </c>
      <c r="H424" s="31">
        <v>20</v>
      </c>
      <c r="I424" s="32"/>
      <c r="J424" s="11">
        <v>2</v>
      </c>
      <c r="K424" s="12" t="s">
        <v>2304</v>
      </c>
      <c r="L424" s="33" t="s">
        <v>1901</v>
      </c>
      <c r="M424" s="26" t="s">
        <v>1307</v>
      </c>
      <c r="N424" s="26" t="s">
        <v>1673</v>
      </c>
      <c r="O424" s="26" t="s">
        <v>734</v>
      </c>
      <c r="P424" s="26" t="s">
        <v>734</v>
      </c>
      <c r="Q424" s="26" t="s">
        <v>454</v>
      </c>
      <c r="R424" s="26" t="s">
        <v>2040</v>
      </c>
      <c r="S424" s="26" t="s">
        <v>224</v>
      </c>
      <c r="T424" s="26" t="s">
        <v>66</v>
      </c>
    </row>
    <row r="425" spans="1:20" s="14" customFormat="1" x14ac:dyDescent="0.25">
      <c r="A425" t="s">
        <v>2355</v>
      </c>
      <c r="B425" s="26" t="s">
        <v>2356</v>
      </c>
      <c r="C425" s="27"/>
      <c r="D425" s="28" t="s">
        <v>29</v>
      </c>
      <c r="E425" s="29" t="s">
        <v>2272</v>
      </c>
      <c r="F425" s="30"/>
      <c r="G425" s="26" t="s">
        <v>2357</v>
      </c>
      <c r="H425" s="31">
        <v>20</v>
      </c>
      <c r="I425" s="62"/>
      <c r="J425" s="105">
        <v>2</v>
      </c>
      <c r="K425" s="12" t="s">
        <v>2358</v>
      </c>
      <c r="L425" s="8"/>
      <c r="M425" s="6"/>
      <c r="N425" s="26"/>
      <c r="O425" s="6"/>
      <c r="P425" s="6"/>
      <c r="Q425" s="6"/>
      <c r="R425" s="6"/>
      <c r="S425" s="6"/>
      <c r="T425" s="6"/>
    </row>
    <row r="426" spans="1:20" x14ac:dyDescent="0.25">
      <c r="A426" t="s">
        <v>2359</v>
      </c>
      <c r="B426" s="6" t="s">
        <v>2360</v>
      </c>
      <c r="C426" s="7">
        <v>7</v>
      </c>
      <c r="D426" s="6" t="s">
        <v>29</v>
      </c>
      <c r="E426" s="6" t="s">
        <v>2272</v>
      </c>
      <c r="F426" s="8"/>
      <c r="G426" s="6" t="s">
        <v>2361</v>
      </c>
      <c r="H426" s="50">
        <v>23</v>
      </c>
      <c r="I426" s="10"/>
      <c r="J426" s="51">
        <v>5</v>
      </c>
      <c r="K426" s="52" t="s">
        <v>894</v>
      </c>
      <c r="L426" s="8" t="s">
        <v>246</v>
      </c>
      <c r="M426" s="6" t="s">
        <v>2362</v>
      </c>
      <c r="N426" s="6" t="s">
        <v>283</v>
      </c>
      <c r="O426" s="6" t="s">
        <v>1054</v>
      </c>
      <c r="P426" s="6" t="s">
        <v>245</v>
      </c>
      <c r="Q426" s="6" t="s">
        <v>1167</v>
      </c>
      <c r="R426" s="6" t="s">
        <v>958</v>
      </c>
      <c r="S426" s="6" t="s">
        <v>2363</v>
      </c>
      <c r="T426" s="6" t="s">
        <v>865</v>
      </c>
    </row>
    <row r="427" spans="1:20" x14ac:dyDescent="0.25">
      <c r="A427" t="s">
        <v>2364</v>
      </c>
      <c r="B427" s="26" t="s">
        <v>2365</v>
      </c>
      <c r="C427" s="35">
        <v>9</v>
      </c>
      <c r="D427" s="26" t="s">
        <v>29</v>
      </c>
      <c r="E427" s="26" t="s">
        <v>2272</v>
      </c>
      <c r="F427" s="33"/>
      <c r="G427" s="26" t="s">
        <v>2366</v>
      </c>
      <c r="H427" s="31">
        <v>5</v>
      </c>
      <c r="I427" s="32"/>
      <c r="J427" s="11">
        <v>5</v>
      </c>
      <c r="K427" s="12" t="s">
        <v>412</v>
      </c>
      <c r="L427" s="33" t="s">
        <v>553</v>
      </c>
      <c r="M427" s="26"/>
      <c r="N427" s="26" t="s">
        <v>1147</v>
      </c>
      <c r="O427" s="26" t="s">
        <v>2367</v>
      </c>
      <c r="P427" s="26" t="s">
        <v>2368</v>
      </c>
      <c r="Q427" s="26" t="s">
        <v>502</v>
      </c>
      <c r="R427" s="26" t="s">
        <v>219</v>
      </c>
      <c r="S427" s="26" t="s">
        <v>1321</v>
      </c>
      <c r="T427" s="26" t="s">
        <v>282</v>
      </c>
    </row>
    <row r="428" spans="1:20" x14ac:dyDescent="0.25">
      <c r="A428" t="s">
        <v>638</v>
      </c>
      <c r="B428" s="26" t="s">
        <v>2369</v>
      </c>
      <c r="C428" s="35">
        <v>8.1</v>
      </c>
      <c r="D428" s="26" t="s">
        <v>29</v>
      </c>
      <c r="E428" s="26" t="s">
        <v>2272</v>
      </c>
      <c r="F428" s="33"/>
      <c r="G428" s="26" t="s">
        <v>2370</v>
      </c>
      <c r="H428" s="31">
        <v>5</v>
      </c>
      <c r="I428" s="32" t="s">
        <v>2371</v>
      </c>
      <c r="J428" s="15">
        <v>0</v>
      </c>
      <c r="K428" s="12" t="s">
        <v>1615</v>
      </c>
      <c r="L428" s="33" t="s">
        <v>719</v>
      </c>
      <c r="M428" s="26" t="s">
        <v>1920</v>
      </c>
      <c r="N428" s="26"/>
      <c r="O428" s="26" t="s">
        <v>24</v>
      </c>
      <c r="P428" s="26" t="s">
        <v>1566</v>
      </c>
      <c r="Q428" s="26" t="s">
        <v>1566</v>
      </c>
      <c r="R428" s="26" t="s">
        <v>2372</v>
      </c>
      <c r="S428" s="26" t="s">
        <v>1799</v>
      </c>
      <c r="T428" s="26" t="s">
        <v>2373</v>
      </c>
    </row>
    <row r="429" spans="1:20" x14ac:dyDescent="0.25">
      <c r="A429" s="4" t="s">
        <v>2374</v>
      </c>
      <c r="B429" s="26" t="s">
        <v>2375</v>
      </c>
      <c r="C429" s="27">
        <v>8.1</v>
      </c>
      <c r="D429" s="26" t="s">
        <v>29</v>
      </c>
      <c r="E429" s="29" t="s">
        <v>2272</v>
      </c>
      <c r="F429" s="30"/>
      <c r="G429" s="26" t="s">
        <v>2376</v>
      </c>
      <c r="H429" s="31">
        <v>23</v>
      </c>
      <c r="I429" s="32"/>
      <c r="J429" s="11">
        <v>9</v>
      </c>
      <c r="K429" s="12" t="s">
        <v>1220</v>
      </c>
      <c r="L429" s="33"/>
      <c r="M429" s="26" t="s">
        <v>2377</v>
      </c>
      <c r="N429" s="26" t="s">
        <v>1859</v>
      </c>
      <c r="O429" s="26" t="s">
        <v>174</v>
      </c>
      <c r="P429" s="26" t="s">
        <v>285</v>
      </c>
      <c r="Q429" s="26" t="s">
        <v>1321</v>
      </c>
      <c r="R429" s="26" t="s">
        <v>207</v>
      </c>
      <c r="S429" s="26" t="s">
        <v>163</v>
      </c>
      <c r="T429" s="26" t="s">
        <v>474</v>
      </c>
    </row>
    <row r="430" spans="1:38" s="16" customFormat="1" x14ac:dyDescent="0.25">
      <c r="A430" s="4" t="s">
        <v>2378</v>
      </c>
      <c r="B430" s="26" t="s">
        <v>2379</v>
      </c>
      <c r="C430" s="35">
        <v>8.1</v>
      </c>
      <c r="D430" s="26" t="s">
        <v>29</v>
      </c>
      <c r="E430" s="29" t="s">
        <v>2272</v>
      </c>
      <c r="F430" s="30"/>
      <c r="G430" s="26" t="s">
        <v>2380</v>
      </c>
      <c r="H430" s="31">
        <v>23</v>
      </c>
      <c r="I430" s="32"/>
      <c r="J430" s="15">
        <v>0</v>
      </c>
      <c r="K430" s="12" t="s">
        <v>2381</v>
      </c>
      <c r="L430" s="33" t="s">
        <v>735</v>
      </c>
      <c r="M430" s="26" t="s">
        <v>736</v>
      </c>
      <c r="N430" s="26"/>
      <c r="O430" s="26" t="s">
        <v>207</v>
      </c>
      <c r="P430" s="26" t="s">
        <v>2308</v>
      </c>
      <c r="Q430" s="26" t="s">
        <v>719</v>
      </c>
      <c r="R430" s="26" t="s">
        <v>464</v>
      </c>
      <c r="S430" s="26" t="s">
        <v>284</v>
      </c>
      <c r="T430" s="26" t="s">
        <v>76</v>
      </c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spans="1:20" s="14" customFormat="1" x14ac:dyDescent="0.25">
      <c r="A431" s="40"/>
      <c r="B431" s="42" t="s">
        <v>2382</v>
      </c>
      <c r="C431" s="43"/>
      <c r="D431" s="42" t="s">
        <v>29</v>
      </c>
      <c r="E431" s="42" t="s">
        <v>2383</v>
      </c>
      <c r="F431" s="44"/>
      <c r="G431" s="42" t="s">
        <v>2384</v>
      </c>
      <c r="H431" s="45">
        <v>20</v>
      </c>
      <c r="I431" s="46"/>
      <c r="J431" s="47">
        <v>0</v>
      </c>
      <c r="K431" s="48" t="s">
        <v>2385</v>
      </c>
      <c r="L431" s="44" t="s">
        <v>2386</v>
      </c>
      <c r="M431" s="42"/>
      <c r="N431" s="42"/>
      <c r="O431" s="42"/>
      <c r="P431" s="42"/>
      <c r="Q431" s="42"/>
      <c r="R431" s="42"/>
      <c r="S431" s="42"/>
      <c r="T431" s="42"/>
    </row>
    <row r="432" spans="2:20" x14ac:dyDescent="0.25">
      <c r="B432" s="186" t="s">
        <v>2387</v>
      </c>
      <c r="C432" s="187">
        <v>7</v>
      </c>
      <c r="D432" s="55" t="s">
        <v>5</v>
      </c>
      <c r="E432" s="26" t="s">
        <v>2388</v>
      </c>
      <c r="F432" s="33"/>
      <c r="G432" s="188" t="s">
        <v>2389</v>
      </c>
      <c r="H432" s="56">
        <v>10</v>
      </c>
      <c r="I432" s="32"/>
      <c r="J432" s="11">
        <v>3</v>
      </c>
      <c r="K432" s="12" t="s">
        <v>1870</v>
      </c>
      <c r="L432" s="33" t="s">
        <v>286</v>
      </c>
      <c r="M432" s="26" t="s">
        <v>60</v>
      </c>
      <c r="N432" s="26" t="s">
        <v>2390</v>
      </c>
      <c r="O432" s="26" t="s">
        <v>2391</v>
      </c>
      <c r="P432" s="26" t="s">
        <v>436</v>
      </c>
      <c r="Q432" s="26" t="s">
        <v>565</v>
      </c>
      <c r="R432" s="26" t="s">
        <v>2392</v>
      </c>
      <c r="S432" s="26" t="s">
        <v>806</v>
      </c>
      <c r="T432" s="26" t="s">
        <v>161</v>
      </c>
    </row>
    <row r="433" spans="1:20" s="14" customFormat="1" x14ac:dyDescent="0.25">
      <c r="A433" t="s">
        <v>2393</v>
      </c>
      <c r="B433" s="26" t="s">
        <v>2394</v>
      </c>
      <c r="C433" s="35">
        <v>6.8</v>
      </c>
      <c r="D433" s="26" t="s">
        <v>2395</v>
      </c>
      <c r="E433" s="26" t="s">
        <v>2396</v>
      </c>
      <c r="F433" s="33"/>
      <c r="G433" s="189" t="s">
        <v>2397</v>
      </c>
      <c r="H433" s="31">
        <v>20</v>
      </c>
      <c r="I433" s="32"/>
      <c r="J433" s="11">
        <v>13</v>
      </c>
      <c r="K433" s="12" t="s">
        <v>2398</v>
      </c>
      <c r="L433" s="8" t="s">
        <v>161</v>
      </c>
      <c r="M433" s="6" t="s">
        <v>64</v>
      </c>
      <c r="N433" s="6" t="s">
        <v>65</v>
      </c>
      <c r="O433" s="6" t="s">
        <v>286</v>
      </c>
      <c r="P433" s="6" t="s">
        <v>171</v>
      </c>
      <c r="Q433" s="6" t="s">
        <v>464</v>
      </c>
      <c r="R433" s="6" t="s">
        <v>470</v>
      </c>
      <c r="S433" s="6" t="s">
        <v>426</v>
      </c>
      <c r="T433" s="6"/>
    </row>
    <row r="434" spans="1:20" x14ac:dyDescent="0.25">
      <c r="A434" t="s">
        <v>2393</v>
      </c>
      <c r="B434" s="26" t="s">
        <v>2399</v>
      </c>
      <c r="C434" s="35">
        <v>6.8</v>
      </c>
      <c r="D434" s="26" t="s">
        <v>2395</v>
      </c>
      <c r="E434" s="26" t="s">
        <v>2396</v>
      </c>
      <c r="F434" s="33"/>
      <c r="G434" s="189" t="s">
        <v>2400</v>
      </c>
      <c r="H434" s="31">
        <v>20</v>
      </c>
      <c r="I434" s="32"/>
      <c r="J434" s="11">
        <v>9</v>
      </c>
      <c r="K434" s="12" t="s">
        <v>2398</v>
      </c>
      <c r="L434" s="33"/>
      <c r="M434" s="26" t="s">
        <v>286</v>
      </c>
      <c r="N434" s="26" t="s">
        <v>512</v>
      </c>
      <c r="O434" s="26" t="s">
        <v>673</v>
      </c>
      <c r="P434" s="26" t="s">
        <v>171</v>
      </c>
      <c r="Q434" s="26" t="s">
        <v>2401</v>
      </c>
      <c r="R434" s="6" t="s">
        <v>147</v>
      </c>
      <c r="S434" s="26" t="s">
        <v>470</v>
      </c>
      <c r="T434" s="26" t="s">
        <v>426</v>
      </c>
    </row>
    <row r="435" spans="2:38" s="16" customFormat="1" x14ac:dyDescent="0.25">
      <c r="B435" s="42" t="s">
        <v>2402</v>
      </c>
      <c r="C435" s="43"/>
      <c r="D435" s="42" t="s">
        <v>29</v>
      </c>
      <c r="E435" s="42" t="s">
        <v>2403</v>
      </c>
      <c r="F435" s="44"/>
      <c r="G435" s="42" t="s">
        <v>2404</v>
      </c>
      <c r="H435" s="45">
        <v>20</v>
      </c>
      <c r="I435" s="46"/>
      <c r="J435" s="15">
        <v>1</v>
      </c>
      <c r="K435" s="12" t="s">
        <v>2405</v>
      </c>
      <c r="L435" s="8" t="s">
        <v>2406</v>
      </c>
      <c r="M435" s="26" t="s">
        <v>2407</v>
      </c>
      <c r="N435" s="6" t="s">
        <v>2408</v>
      </c>
      <c r="O435" s="6" t="s">
        <v>345</v>
      </c>
      <c r="P435" s="6"/>
      <c r="Q435" s="6"/>
      <c r="R435" s="6"/>
      <c r="S435" s="6"/>
      <c r="T435" s="6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spans="1:20" x14ac:dyDescent="0.25">
      <c r="A436" s="40"/>
      <c r="B436" s="42" t="s">
        <v>2409</v>
      </c>
      <c r="C436" s="43"/>
      <c r="D436" s="42" t="s">
        <v>29</v>
      </c>
      <c r="E436" s="42" t="s">
        <v>2403</v>
      </c>
      <c r="F436" s="44"/>
      <c r="G436" s="42" t="s">
        <v>2410</v>
      </c>
      <c r="H436" s="45">
        <v>20</v>
      </c>
      <c r="I436" s="46"/>
      <c r="J436" s="47">
        <v>0</v>
      </c>
      <c r="K436" s="48" t="s">
        <v>2405</v>
      </c>
      <c r="L436" s="44" t="s">
        <v>1610</v>
      </c>
      <c r="M436" s="42" t="s">
        <v>2411</v>
      </c>
      <c r="N436" s="42" t="s">
        <v>73</v>
      </c>
      <c r="O436" s="42" t="s">
        <v>2412</v>
      </c>
      <c r="P436" s="42"/>
      <c r="Q436" s="42"/>
      <c r="R436" s="42"/>
      <c r="S436" s="42"/>
      <c r="T436" s="42"/>
    </row>
    <row r="437" spans="1:20" s="14" customFormat="1" x14ac:dyDescent="0.25">
      <c r="A437" s="4" t="s">
        <v>2413</v>
      </c>
      <c r="B437" s="55" t="s">
        <v>2414</v>
      </c>
      <c r="C437" s="59">
        <v>7.9</v>
      </c>
      <c r="D437" s="55" t="s">
        <v>29</v>
      </c>
      <c r="E437" s="26" t="s">
        <v>2403</v>
      </c>
      <c r="F437" s="33"/>
      <c r="G437" s="55" t="s">
        <v>2415</v>
      </c>
      <c r="H437" s="61">
        <v>20</v>
      </c>
      <c r="I437" s="62"/>
      <c r="J437" s="105">
        <v>2</v>
      </c>
      <c r="K437" s="12" t="s">
        <v>2416</v>
      </c>
      <c r="L437" s="33" t="s">
        <v>112</v>
      </c>
      <c r="M437" s="26" t="s">
        <v>86</v>
      </c>
      <c r="N437" s="26" t="s">
        <v>248</v>
      </c>
      <c r="O437" s="26" t="s">
        <v>1376</v>
      </c>
      <c r="P437" s="26" t="s">
        <v>2327</v>
      </c>
      <c r="Q437" s="26" t="s">
        <v>2182</v>
      </c>
      <c r="R437" s="26" t="s">
        <v>163</v>
      </c>
      <c r="S437" s="26"/>
      <c r="T437" s="26" t="s">
        <v>1147</v>
      </c>
    </row>
    <row r="438" spans="1:20" x14ac:dyDescent="0.25">
      <c r="A438" t="s">
        <v>2417</v>
      </c>
      <c r="B438" s="26" t="s">
        <v>2418</v>
      </c>
      <c r="C438" s="35">
        <v>5</v>
      </c>
      <c r="D438" s="76" t="s">
        <v>29</v>
      </c>
      <c r="E438" s="26" t="s">
        <v>2403</v>
      </c>
      <c r="F438" s="33"/>
      <c r="G438" s="26" t="s">
        <v>2419</v>
      </c>
      <c r="H438" s="56">
        <v>24</v>
      </c>
      <c r="I438" s="190"/>
      <c r="J438" s="15">
        <v>2</v>
      </c>
      <c r="K438" s="12" t="s">
        <v>733</v>
      </c>
      <c r="L438" s="33" t="s">
        <v>10</v>
      </c>
      <c r="M438" s="165" t="s">
        <v>539</v>
      </c>
      <c r="N438" s="26" t="s">
        <v>871</v>
      </c>
      <c r="O438" s="26" t="s">
        <v>723</v>
      </c>
      <c r="P438" s="26" t="s">
        <v>512</v>
      </c>
      <c r="Q438" s="26" t="s">
        <v>465</v>
      </c>
      <c r="R438" s="26"/>
      <c r="S438" s="26" t="s">
        <v>272</v>
      </c>
      <c r="T438" s="26" t="s">
        <v>1581</v>
      </c>
    </row>
    <row r="439" spans="1:20" x14ac:dyDescent="0.25">
      <c r="A439" t="s">
        <v>2420</v>
      </c>
      <c r="B439" s="6" t="s">
        <v>2421</v>
      </c>
      <c r="C439" s="7">
        <v>5.5</v>
      </c>
      <c r="D439" s="49" t="s">
        <v>29</v>
      </c>
      <c r="E439" s="6" t="s">
        <v>2403</v>
      </c>
      <c r="F439" s="8"/>
      <c r="G439" s="6" t="s">
        <v>2422</v>
      </c>
      <c r="H439" s="9">
        <v>24</v>
      </c>
      <c r="I439" s="10"/>
      <c r="J439" s="51">
        <v>5</v>
      </c>
      <c r="K439" s="52" t="s">
        <v>574</v>
      </c>
      <c r="L439" s="8" t="s">
        <v>174</v>
      </c>
      <c r="M439" s="6" t="s">
        <v>512</v>
      </c>
      <c r="N439" s="6" t="s">
        <v>673</v>
      </c>
      <c r="O439" s="6" t="s">
        <v>719</v>
      </c>
      <c r="P439" s="6" t="s">
        <v>213</v>
      </c>
      <c r="Q439" s="6" t="s">
        <v>258</v>
      </c>
      <c r="R439" s="6"/>
      <c r="S439" s="6" t="s">
        <v>1908</v>
      </c>
      <c r="T439" s="6" t="s">
        <v>174</v>
      </c>
    </row>
    <row r="440" spans="1:20" x14ac:dyDescent="0.25">
      <c r="A440" t="s">
        <v>2423</v>
      </c>
      <c r="B440" s="6" t="s">
        <v>2424</v>
      </c>
      <c r="C440" s="7">
        <v>5.5</v>
      </c>
      <c r="D440" s="49" t="s">
        <v>29</v>
      </c>
      <c r="E440" s="6" t="s">
        <v>2403</v>
      </c>
      <c r="F440" s="8"/>
      <c r="G440" s="6" t="s">
        <v>2425</v>
      </c>
      <c r="H440" s="9">
        <v>24</v>
      </c>
      <c r="I440" s="10"/>
      <c r="J440" s="51">
        <v>6</v>
      </c>
      <c r="K440" s="52" t="s">
        <v>574</v>
      </c>
      <c r="L440" s="8" t="s">
        <v>1773</v>
      </c>
      <c r="M440" s="6" t="s">
        <v>44</v>
      </c>
      <c r="N440" s="6" t="s">
        <v>651</v>
      </c>
      <c r="O440" s="6" t="s">
        <v>174</v>
      </c>
      <c r="P440" s="6" t="s">
        <v>1296</v>
      </c>
      <c r="Q440" s="6" t="s">
        <v>1033</v>
      </c>
      <c r="R440" s="6" t="s">
        <v>258</v>
      </c>
      <c r="S440" s="6"/>
      <c r="T440" s="6" t="s">
        <v>603</v>
      </c>
    </row>
    <row r="441" spans="1:20" x14ac:dyDescent="0.25">
      <c r="A441" t="s">
        <v>2426</v>
      </c>
      <c r="B441" s="26" t="s">
        <v>2427</v>
      </c>
      <c r="C441" s="35">
        <v>5.5</v>
      </c>
      <c r="D441" s="76" t="s">
        <v>29</v>
      </c>
      <c r="E441" s="26" t="s">
        <v>2403</v>
      </c>
      <c r="F441" s="33"/>
      <c r="G441" s="26" t="s">
        <v>2428</v>
      </c>
      <c r="H441" s="56">
        <v>24</v>
      </c>
      <c r="I441" s="32"/>
      <c r="J441" s="11">
        <v>7</v>
      </c>
      <c r="K441" s="12" t="s">
        <v>2429</v>
      </c>
      <c r="L441" s="33" t="s">
        <v>675</v>
      </c>
      <c r="M441" s="26" t="s">
        <v>928</v>
      </c>
      <c r="N441" s="26" t="s">
        <v>426</v>
      </c>
      <c r="O441" s="26"/>
      <c r="P441" s="26" t="s">
        <v>991</v>
      </c>
      <c r="Q441" s="26" t="s">
        <v>265</v>
      </c>
      <c r="R441" s="26" t="s">
        <v>1581</v>
      </c>
      <c r="S441" s="26" t="s">
        <v>275</v>
      </c>
      <c r="T441" s="26" t="s">
        <v>1674</v>
      </c>
    </row>
    <row r="442" spans="1:20" x14ac:dyDescent="0.25">
      <c r="A442" t="s">
        <v>2430</v>
      </c>
      <c r="B442" s="6" t="s">
        <v>2431</v>
      </c>
      <c r="C442" s="7">
        <v>5.5</v>
      </c>
      <c r="D442" s="49" t="s">
        <v>29</v>
      </c>
      <c r="E442" s="6" t="s">
        <v>2403</v>
      </c>
      <c r="F442" s="8"/>
      <c r="G442" s="6" t="s">
        <v>2432</v>
      </c>
      <c r="H442" s="9">
        <v>24</v>
      </c>
      <c r="I442" s="10"/>
      <c r="J442" s="51">
        <v>5</v>
      </c>
      <c r="K442" s="52" t="s">
        <v>574</v>
      </c>
      <c r="L442" s="8"/>
      <c r="M442" s="6" t="s">
        <v>1304</v>
      </c>
      <c r="N442" s="6" t="s">
        <v>286</v>
      </c>
      <c r="O442" s="6" t="s">
        <v>36</v>
      </c>
      <c r="P442" s="6" t="s">
        <v>1296</v>
      </c>
      <c r="Q442" s="6" t="s">
        <v>170</v>
      </c>
      <c r="R442" s="6" t="s">
        <v>719</v>
      </c>
      <c r="S442" s="49" t="s">
        <v>362</v>
      </c>
      <c r="T442" s="49" t="s">
        <v>158</v>
      </c>
    </row>
    <row r="443" spans="1:20" x14ac:dyDescent="0.25">
      <c r="A443" t="s">
        <v>2433</v>
      </c>
      <c r="B443" s="26" t="s">
        <v>2434</v>
      </c>
      <c r="C443" s="35">
        <v>5.5</v>
      </c>
      <c r="D443" s="76" t="s">
        <v>29</v>
      </c>
      <c r="E443" s="26" t="s">
        <v>2403</v>
      </c>
      <c r="F443" s="33"/>
      <c r="G443" s="26" t="s">
        <v>2435</v>
      </c>
      <c r="H443" s="56">
        <v>10</v>
      </c>
      <c r="I443" s="32"/>
      <c r="J443" s="11">
        <v>6</v>
      </c>
      <c r="K443" s="12" t="s">
        <v>2436</v>
      </c>
      <c r="L443" s="33" t="s">
        <v>986</v>
      </c>
      <c r="M443" s="28" t="s">
        <v>2437</v>
      </c>
      <c r="N443" s="26" t="s">
        <v>1455</v>
      </c>
      <c r="O443" s="26" t="s">
        <v>434</v>
      </c>
      <c r="P443" s="26" t="s">
        <v>1387</v>
      </c>
      <c r="Q443" s="26" t="s">
        <v>1931</v>
      </c>
      <c r="R443" s="26" t="s">
        <v>2438</v>
      </c>
      <c r="S443" s="26"/>
      <c r="T443" s="26"/>
    </row>
    <row r="444" spans="1:20" x14ac:dyDescent="0.25">
      <c r="A444" s="4" t="s">
        <v>638</v>
      </c>
      <c r="B444" s="26" t="s">
        <v>2439</v>
      </c>
      <c r="C444" s="27"/>
      <c r="D444" s="26" t="s">
        <v>29</v>
      </c>
      <c r="E444" s="26" t="s">
        <v>2403</v>
      </c>
      <c r="F444" s="33"/>
      <c r="G444" s="26" t="s">
        <v>2440</v>
      </c>
      <c r="H444" s="31">
        <v>4</v>
      </c>
      <c r="I444" s="32" t="s">
        <v>2441</v>
      </c>
      <c r="J444" s="15">
        <v>1</v>
      </c>
      <c r="K444" s="12" t="s">
        <v>2442</v>
      </c>
      <c r="L444" s="33" t="s">
        <v>2276</v>
      </c>
      <c r="M444" s="28" t="s">
        <v>258</v>
      </c>
      <c r="N444" s="26"/>
      <c r="O444" s="26" t="s">
        <v>926</v>
      </c>
      <c r="P444" s="26" t="s">
        <v>744</v>
      </c>
      <c r="Q444" s="26" t="s">
        <v>599</v>
      </c>
      <c r="R444" s="26" t="s">
        <v>612</v>
      </c>
      <c r="S444" s="26" t="s">
        <v>672</v>
      </c>
      <c r="T444" s="26" t="s">
        <v>161</v>
      </c>
    </row>
    <row r="445" spans="1:20" s="14" customFormat="1" x14ac:dyDescent="0.25">
      <c r="A445" t="s">
        <v>2443</v>
      </c>
      <c r="B445" s="26" t="s">
        <v>2444</v>
      </c>
      <c r="C445" s="35">
        <v>9</v>
      </c>
      <c r="D445" s="26" t="s">
        <v>29</v>
      </c>
      <c r="E445" s="26" t="s">
        <v>2403</v>
      </c>
      <c r="F445" s="33"/>
      <c r="G445" s="26" t="s">
        <v>2445</v>
      </c>
      <c r="H445" s="31">
        <v>5</v>
      </c>
      <c r="I445" s="32"/>
      <c r="J445" s="15">
        <v>0</v>
      </c>
      <c r="K445" s="12" t="s">
        <v>2446</v>
      </c>
      <c r="L445" s="33" t="s">
        <v>1200</v>
      </c>
      <c r="M445" s="26" t="s">
        <v>2447</v>
      </c>
      <c r="N445" s="26" t="s">
        <v>284</v>
      </c>
      <c r="O445" s="26" t="s">
        <v>292</v>
      </c>
      <c r="P445" s="26" t="s">
        <v>2448</v>
      </c>
      <c r="Q445" s="26" t="s">
        <v>735</v>
      </c>
      <c r="R445" s="26"/>
      <c r="S445" s="26" t="s">
        <v>864</v>
      </c>
      <c r="T445" s="26" t="s">
        <v>453</v>
      </c>
    </row>
    <row r="446" spans="1:20" s="14" customFormat="1" x14ac:dyDescent="0.25">
      <c r="A446" t="s">
        <v>2449</v>
      </c>
      <c r="B446" s="26" t="s">
        <v>2450</v>
      </c>
      <c r="C446" s="35">
        <v>8.1</v>
      </c>
      <c r="D446" s="26" t="s">
        <v>29</v>
      </c>
      <c r="E446" s="26" t="s">
        <v>2403</v>
      </c>
      <c r="F446" s="33"/>
      <c r="G446" s="26" t="s">
        <v>2451</v>
      </c>
      <c r="H446" s="31">
        <v>6</v>
      </c>
      <c r="I446" s="32" t="s">
        <v>2452</v>
      </c>
      <c r="J446" s="11">
        <v>13</v>
      </c>
      <c r="K446" s="12" t="s">
        <v>2453</v>
      </c>
      <c r="L446" s="33" t="s">
        <v>583</v>
      </c>
      <c r="M446" s="26" t="s">
        <v>554</v>
      </c>
      <c r="N446" s="26"/>
      <c r="O446" s="26" t="s">
        <v>2454</v>
      </c>
      <c r="P446" s="26" t="s">
        <v>2300</v>
      </c>
      <c r="Q446" s="26" t="s">
        <v>485</v>
      </c>
      <c r="R446" s="26" t="s">
        <v>2455</v>
      </c>
      <c r="S446" s="26" t="s">
        <v>2373</v>
      </c>
      <c r="T446" s="26" t="s">
        <v>207</v>
      </c>
    </row>
    <row r="447" spans="2:20" x14ac:dyDescent="0.25">
      <c r="B447" s="101" t="s">
        <v>2456</v>
      </c>
      <c r="C447" s="166"/>
      <c r="D447" s="101" t="s">
        <v>29</v>
      </c>
      <c r="E447" s="6" t="s">
        <v>2403</v>
      </c>
      <c r="F447" s="8"/>
      <c r="G447" s="101" t="s">
        <v>2457</v>
      </c>
      <c r="H447" s="168">
        <v>25</v>
      </c>
      <c r="I447" s="6"/>
      <c r="J447" s="170">
        <v>14</v>
      </c>
      <c r="K447" s="52" t="s">
        <v>552</v>
      </c>
      <c r="L447" s="8" t="s">
        <v>2458</v>
      </c>
      <c r="M447" s="6" t="s">
        <v>2459</v>
      </c>
      <c r="N447" s="6" t="s">
        <v>2460</v>
      </c>
      <c r="O447" s="6" t="s">
        <v>464</v>
      </c>
      <c r="P447" s="6" t="s">
        <v>2331</v>
      </c>
      <c r="Q447" s="6" t="s">
        <v>2461</v>
      </c>
      <c r="R447" s="6" t="s">
        <v>1920</v>
      </c>
      <c r="S447" s="6"/>
      <c r="T447" s="6"/>
    </row>
    <row r="448" spans="2:20" x14ac:dyDescent="0.25">
      <c r="B448" s="26" t="s">
        <v>2462</v>
      </c>
      <c r="C448" s="27"/>
      <c r="D448" s="26" t="s">
        <v>29</v>
      </c>
      <c r="E448" s="26" t="s">
        <v>2403</v>
      </c>
      <c r="F448" s="33"/>
      <c r="G448" s="17" t="s">
        <v>2463</v>
      </c>
      <c r="H448" s="22">
        <v>5</v>
      </c>
      <c r="I448" s="23" t="s">
        <v>2464</v>
      </c>
      <c r="J448" s="15">
        <v>0</v>
      </c>
      <c r="K448" s="12"/>
      <c r="L448" s="33" t="s">
        <v>545</v>
      </c>
      <c r="M448" s="26" t="s">
        <v>1116</v>
      </c>
      <c r="N448" s="26" t="s">
        <v>107</v>
      </c>
      <c r="O448" s="26" t="s">
        <v>737</v>
      </c>
      <c r="P448" s="26" t="s">
        <v>627</v>
      </c>
      <c r="Q448" s="26" t="s">
        <v>1392</v>
      </c>
      <c r="R448" s="26" t="s">
        <v>313</v>
      </c>
      <c r="S448" s="26" t="s">
        <v>1674</v>
      </c>
      <c r="T448" s="26"/>
    </row>
    <row r="449" spans="2:20" x14ac:dyDescent="0.25">
      <c r="B449" s="6" t="s">
        <v>2465</v>
      </c>
      <c r="C449" s="7"/>
      <c r="D449" s="6" t="s">
        <v>29</v>
      </c>
      <c r="E449" s="6" t="s">
        <v>2403</v>
      </c>
      <c r="F449" s="8"/>
      <c r="G449" s="17" t="s">
        <v>2466</v>
      </c>
      <c r="H449" s="100">
        <v>20</v>
      </c>
      <c r="I449" s="23"/>
      <c r="J449" s="15">
        <v>0</v>
      </c>
      <c r="K449" s="12" t="s">
        <v>2467</v>
      </c>
      <c r="L449" s="8" t="s">
        <v>2138</v>
      </c>
      <c r="M449" s="26" t="s">
        <v>2468</v>
      </c>
      <c r="N449" s="6" t="s">
        <v>1626</v>
      </c>
      <c r="O449" s="6"/>
      <c r="P449" s="6"/>
      <c r="Q449" s="6"/>
      <c r="R449" s="6"/>
      <c r="S449" s="6"/>
      <c r="T449" s="6"/>
    </row>
    <row r="450" spans="1:20" x14ac:dyDescent="0.25">
      <c r="A450" t="s">
        <v>2469</v>
      </c>
      <c r="B450" s="55" t="s">
        <v>2470</v>
      </c>
      <c r="C450" s="59">
        <v>7</v>
      </c>
      <c r="D450" s="55" t="s">
        <v>29</v>
      </c>
      <c r="E450" s="26" t="s">
        <v>2403</v>
      </c>
      <c r="F450" s="33"/>
      <c r="G450" s="55" t="s">
        <v>2471</v>
      </c>
      <c r="H450" s="61">
        <v>30</v>
      </c>
      <c r="I450" s="62"/>
      <c r="J450" s="105">
        <v>1</v>
      </c>
      <c r="K450" s="12" t="s">
        <v>2472</v>
      </c>
      <c r="L450" s="8" t="s">
        <v>34</v>
      </c>
      <c r="M450" s="26" t="s">
        <v>71</v>
      </c>
      <c r="N450" s="26" t="s">
        <v>2166</v>
      </c>
      <c r="O450" s="6" t="s">
        <v>986</v>
      </c>
      <c r="P450" s="6" t="s">
        <v>958</v>
      </c>
      <c r="Q450" s="6" t="s">
        <v>538</v>
      </c>
      <c r="R450" s="6" t="s">
        <v>1626</v>
      </c>
      <c r="S450" s="6"/>
      <c r="T450" s="6"/>
    </row>
    <row r="451" spans="1:38" s="40" customFormat="1" x14ac:dyDescent="0.25">
      <c r="A451" s="4" t="s">
        <v>2473</v>
      </c>
      <c r="B451" s="26" t="s">
        <v>2474</v>
      </c>
      <c r="C451" s="27">
        <v>9</v>
      </c>
      <c r="D451" s="26" t="s">
        <v>29</v>
      </c>
      <c r="E451" s="26" t="s">
        <v>2403</v>
      </c>
      <c r="F451" s="33"/>
      <c r="G451" s="26" t="s">
        <v>2475</v>
      </c>
      <c r="H451" s="31">
        <v>6</v>
      </c>
      <c r="I451" s="62"/>
      <c r="J451" s="11">
        <v>2</v>
      </c>
      <c r="K451" s="12" t="s">
        <v>2476</v>
      </c>
      <c r="L451" s="33" t="s">
        <v>667</v>
      </c>
      <c r="M451" s="26"/>
      <c r="N451" s="26" t="s">
        <v>382</v>
      </c>
      <c r="O451" s="26" t="s">
        <v>169</v>
      </c>
      <c r="P451" s="26" t="s">
        <v>2477</v>
      </c>
      <c r="Q451" s="26" t="s">
        <v>512</v>
      </c>
      <c r="R451" s="26" t="s">
        <v>583</v>
      </c>
      <c r="S451" s="26" t="s">
        <v>362</v>
      </c>
      <c r="T451" s="26" t="s">
        <v>1897</v>
      </c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spans="1:20" x14ac:dyDescent="0.25">
      <c r="A452" t="s">
        <v>2478</v>
      </c>
      <c r="B452" s="49" t="s">
        <v>2479</v>
      </c>
      <c r="C452" s="103">
        <v>3</v>
      </c>
      <c r="D452" s="49" t="s">
        <v>29</v>
      </c>
      <c r="E452" s="49" t="s">
        <v>2403</v>
      </c>
      <c r="F452" s="75"/>
      <c r="G452" s="49" t="s">
        <v>2480</v>
      </c>
      <c r="H452" s="154">
        <v>48</v>
      </c>
      <c r="I452" s="191"/>
      <c r="J452" s="39">
        <v>4</v>
      </c>
      <c r="K452" s="52" t="s">
        <v>2481</v>
      </c>
      <c r="L452" s="8" t="s">
        <v>224</v>
      </c>
      <c r="M452" s="6" t="s">
        <v>193</v>
      </c>
      <c r="N452" s="6"/>
      <c r="O452" s="6" t="s">
        <v>612</v>
      </c>
      <c r="P452" s="6" t="s">
        <v>84</v>
      </c>
      <c r="Q452" s="6" t="s">
        <v>65</v>
      </c>
      <c r="R452" s="6" t="s">
        <v>135</v>
      </c>
      <c r="S452" s="6" t="s">
        <v>224</v>
      </c>
      <c r="T452" s="6"/>
    </row>
    <row r="453" spans="2:20" s="16" customFormat="1" x14ac:dyDescent="0.25">
      <c r="B453" s="17" t="s">
        <v>2482</v>
      </c>
      <c r="C453" s="18">
        <v>3</v>
      </c>
      <c r="D453" s="92" t="s">
        <v>29</v>
      </c>
      <c r="E453" s="17" t="s">
        <v>2403</v>
      </c>
      <c r="F453" s="25"/>
      <c r="G453" s="17" t="s">
        <v>2483</v>
      </c>
      <c r="H453" s="100">
        <v>48</v>
      </c>
      <c r="I453" s="192"/>
      <c r="J453" s="15">
        <v>0</v>
      </c>
      <c r="K453" s="24" t="s">
        <v>2068</v>
      </c>
      <c r="L453" s="25" t="s">
        <v>2253</v>
      </c>
      <c r="M453" s="17" t="s">
        <v>958</v>
      </c>
      <c r="N453" s="17" t="s">
        <v>1556</v>
      </c>
      <c r="O453" s="17" t="s">
        <v>2029</v>
      </c>
      <c r="P453" s="17" t="s">
        <v>200</v>
      </c>
      <c r="Q453" s="17" t="s">
        <v>2484</v>
      </c>
      <c r="R453" s="17" t="s">
        <v>1833</v>
      </c>
      <c r="S453" s="17" t="s">
        <v>368</v>
      </c>
      <c r="T453" s="17"/>
    </row>
    <row r="454" spans="1:20" x14ac:dyDescent="0.25">
      <c r="A454" t="s">
        <v>2485</v>
      </c>
      <c r="B454" s="6" t="s">
        <v>2486</v>
      </c>
      <c r="C454" s="7">
        <v>5</v>
      </c>
      <c r="D454" s="49" t="s">
        <v>29</v>
      </c>
      <c r="E454" s="6" t="s">
        <v>2403</v>
      </c>
      <c r="F454" s="8"/>
      <c r="G454" s="6" t="s">
        <v>2487</v>
      </c>
      <c r="H454" s="9">
        <v>25</v>
      </c>
      <c r="I454" s="10"/>
      <c r="J454" s="51">
        <v>5</v>
      </c>
      <c r="K454" s="52" t="s">
        <v>574</v>
      </c>
      <c r="L454" s="8"/>
      <c r="M454" s="6" t="s">
        <v>1212</v>
      </c>
      <c r="N454" s="6" t="s">
        <v>1070</v>
      </c>
      <c r="O454" s="6" t="s">
        <v>500</v>
      </c>
      <c r="P454" s="6" t="s">
        <v>2261</v>
      </c>
      <c r="Q454" s="6" t="s">
        <v>485</v>
      </c>
      <c r="R454" s="6" t="s">
        <v>224</v>
      </c>
      <c r="S454" s="6" t="s">
        <v>1296</v>
      </c>
      <c r="T454" s="6" t="s">
        <v>600</v>
      </c>
    </row>
    <row r="455" spans="1:19" s="14" customFormat="1" x14ac:dyDescent="0.25">
      <c r="A455" s="4" t="s">
        <v>638</v>
      </c>
      <c r="B455" s="26" t="s">
        <v>2488</v>
      </c>
      <c r="C455" s="27">
        <v>6</v>
      </c>
      <c r="D455" s="76" t="s">
        <v>29</v>
      </c>
      <c r="E455" s="26" t="s">
        <v>2403</v>
      </c>
      <c r="F455" s="33"/>
      <c r="G455" s="26" t="s">
        <v>2489</v>
      </c>
      <c r="H455" s="56">
        <v>12</v>
      </c>
      <c r="I455" s="32"/>
      <c r="J455" s="11">
        <v>4</v>
      </c>
      <c r="K455" s="12" t="s">
        <v>2381</v>
      </c>
      <c r="L455" s="33" t="s">
        <v>2490</v>
      </c>
      <c r="M455" s="26" t="s">
        <v>2491</v>
      </c>
      <c r="N455" s="26" t="s">
        <v>582</v>
      </c>
      <c r="O455" s="26" t="s">
        <v>1409</v>
      </c>
      <c r="P455" s="26" t="s">
        <v>1488</v>
      </c>
      <c r="Q455" s="26" t="s">
        <v>1495</v>
      </c>
      <c r="R455" s="26" t="s">
        <v>2492</v>
      </c>
      <c r="S455" s="4" t="s">
        <v>553</v>
      </c>
    </row>
    <row r="456" spans="1:20" s="14" customFormat="1" x14ac:dyDescent="0.25">
      <c r="A456" t="s">
        <v>2493</v>
      </c>
      <c r="B456" s="26" t="s">
        <v>2494</v>
      </c>
      <c r="C456" s="27"/>
      <c r="D456" s="76" t="s">
        <v>29</v>
      </c>
      <c r="E456" s="26" t="s">
        <v>2403</v>
      </c>
      <c r="F456" s="33"/>
      <c r="G456" s="26" t="s">
        <v>2495</v>
      </c>
      <c r="H456" s="56">
        <v>24</v>
      </c>
      <c r="I456" s="32" t="s">
        <v>2496</v>
      </c>
      <c r="J456" s="11">
        <v>6</v>
      </c>
      <c r="K456" s="12" t="s">
        <v>2429</v>
      </c>
      <c r="L456" s="33" t="s">
        <v>1424</v>
      </c>
      <c r="M456" s="26"/>
      <c r="N456" s="26" t="s">
        <v>705</v>
      </c>
      <c r="O456" s="26" t="s">
        <v>2497</v>
      </c>
      <c r="P456" s="26" t="s">
        <v>902</v>
      </c>
      <c r="Q456" s="26" t="s">
        <v>737</v>
      </c>
      <c r="R456" s="26" t="s">
        <v>233</v>
      </c>
      <c r="S456" s="26" t="s">
        <v>1754</v>
      </c>
      <c r="T456" s="26" t="s">
        <v>698</v>
      </c>
    </row>
    <row r="457" spans="1:20" s="14" customFormat="1" x14ac:dyDescent="0.25">
      <c r="A457" t="s">
        <v>2498</v>
      </c>
      <c r="B457" s="26" t="s">
        <v>2499</v>
      </c>
      <c r="C457" s="35">
        <v>8.8</v>
      </c>
      <c r="D457" s="76" t="s">
        <v>29</v>
      </c>
      <c r="E457" s="26" t="s">
        <v>2403</v>
      </c>
      <c r="F457" s="33"/>
      <c r="G457" s="26" t="s">
        <v>2500</v>
      </c>
      <c r="H457" s="56">
        <v>10</v>
      </c>
      <c r="I457" s="32"/>
      <c r="J457" s="51">
        <v>1</v>
      </c>
      <c r="K457" s="12" t="s">
        <v>2501</v>
      </c>
      <c r="L457" s="33" t="s">
        <v>490</v>
      </c>
      <c r="M457" s="26" t="s">
        <v>120</v>
      </c>
      <c r="N457" s="26" t="s">
        <v>2502</v>
      </c>
      <c r="O457" s="26" t="s">
        <v>1244</v>
      </c>
      <c r="P457" s="26" t="s">
        <v>358</v>
      </c>
      <c r="Q457" s="26" t="s">
        <v>159</v>
      </c>
      <c r="R457" s="26" t="s">
        <v>26</v>
      </c>
      <c r="S457" s="26" t="s">
        <v>121</v>
      </c>
      <c r="T457" s="26"/>
    </row>
    <row r="458" spans="1:20" s="14" customFormat="1" x14ac:dyDescent="0.25">
      <c r="A458" s="4" t="s">
        <v>2503</v>
      </c>
      <c r="B458" s="26" t="s">
        <v>2504</v>
      </c>
      <c r="C458" s="27">
        <v>9.3</v>
      </c>
      <c r="D458" s="76" t="s">
        <v>29</v>
      </c>
      <c r="E458" s="26" t="s">
        <v>2403</v>
      </c>
      <c r="F458" s="33"/>
      <c r="G458" s="26" t="s">
        <v>2505</v>
      </c>
      <c r="H458" s="56">
        <v>10</v>
      </c>
      <c r="I458" s="32" t="s">
        <v>2506</v>
      </c>
      <c r="J458" s="11">
        <v>2</v>
      </c>
      <c r="K458" s="12" t="s">
        <v>412</v>
      </c>
      <c r="L458" s="33" t="s">
        <v>256</v>
      </c>
      <c r="M458" s="26" t="s">
        <v>358</v>
      </c>
      <c r="N458" s="26" t="s">
        <v>1619</v>
      </c>
      <c r="O458" s="26" t="s">
        <v>84</v>
      </c>
      <c r="P458" s="26" t="s">
        <v>2507</v>
      </c>
      <c r="Q458" s="26"/>
      <c r="R458" s="26" t="s">
        <v>86</v>
      </c>
      <c r="S458" s="26" t="s">
        <v>720</v>
      </c>
      <c r="T458" s="26" t="s">
        <v>2508</v>
      </c>
    </row>
    <row r="459" spans="1:20" x14ac:dyDescent="0.25">
      <c r="A459" t="s">
        <v>2509</v>
      </c>
      <c r="B459" s="26" t="s">
        <v>2510</v>
      </c>
      <c r="C459" s="27"/>
      <c r="D459" s="76" t="s">
        <v>29</v>
      </c>
      <c r="E459" s="26" t="s">
        <v>2403</v>
      </c>
      <c r="F459" s="33"/>
      <c r="G459" s="26" t="s">
        <v>2511</v>
      </c>
      <c r="H459" s="56">
        <v>10</v>
      </c>
      <c r="I459" s="32"/>
      <c r="J459" s="11">
        <v>3</v>
      </c>
      <c r="K459" s="12" t="s">
        <v>2512</v>
      </c>
      <c r="L459" s="33" t="s">
        <v>589</v>
      </c>
      <c r="M459" s="26" t="s">
        <v>453</v>
      </c>
      <c r="N459" s="26" t="s">
        <v>659</v>
      </c>
      <c r="O459" s="26" t="s">
        <v>84</v>
      </c>
      <c r="P459" s="26" t="s">
        <v>502</v>
      </c>
      <c r="Q459" s="26" t="s">
        <v>1908</v>
      </c>
      <c r="R459" s="26" t="s">
        <v>75</v>
      </c>
      <c r="S459" s="26"/>
      <c r="T459" s="26"/>
    </row>
    <row r="460" spans="1:20" x14ac:dyDescent="0.25">
      <c r="A460" t="s">
        <v>2509</v>
      </c>
      <c r="B460" s="26" t="s">
        <v>2513</v>
      </c>
      <c r="C460" s="27"/>
      <c r="D460" s="76" t="s">
        <v>29</v>
      </c>
      <c r="E460" s="26" t="s">
        <v>2403</v>
      </c>
      <c r="F460" s="33"/>
      <c r="G460" s="26" t="s">
        <v>2514</v>
      </c>
      <c r="H460" s="56">
        <v>10</v>
      </c>
      <c r="I460" s="32"/>
      <c r="J460" s="11">
        <v>5</v>
      </c>
      <c r="K460" s="12" t="s">
        <v>2515</v>
      </c>
      <c r="L460" s="33"/>
      <c r="M460" s="26"/>
      <c r="N460" s="26"/>
      <c r="O460" s="26"/>
      <c r="P460" s="26"/>
      <c r="Q460" s="26"/>
      <c r="R460" s="26"/>
      <c r="S460" s="26"/>
      <c r="T460" s="26"/>
    </row>
    <row r="461" spans="1:38" s="16" customFormat="1" x14ac:dyDescent="0.25">
      <c r="A461" s="4" t="s">
        <v>2516</v>
      </c>
      <c r="B461" s="26" t="s">
        <v>2517</v>
      </c>
      <c r="C461" s="27">
        <v>7.6</v>
      </c>
      <c r="D461" s="76" t="s">
        <v>29</v>
      </c>
      <c r="E461" s="26" t="s">
        <v>2403</v>
      </c>
      <c r="F461" s="33"/>
      <c r="G461" s="26" t="s">
        <v>2518</v>
      </c>
      <c r="H461" s="56">
        <v>10</v>
      </c>
      <c r="I461" s="32"/>
      <c r="J461" s="11">
        <v>3</v>
      </c>
      <c r="K461" s="12" t="s">
        <v>1449</v>
      </c>
      <c r="L461" s="33" t="s">
        <v>2519</v>
      </c>
      <c r="M461" s="28" t="s">
        <v>64</v>
      </c>
      <c r="N461" s="26" t="s">
        <v>64</v>
      </c>
      <c r="O461" s="76" t="s">
        <v>383</v>
      </c>
      <c r="P461" s="76" t="s">
        <v>212</v>
      </c>
      <c r="Q461" s="76" t="s">
        <v>75</v>
      </c>
      <c r="R461" s="76" t="s">
        <v>76</v>
      </c>
      <c r="S461" s="26" t="s">
        <v>735</v>
      </c>
      <c r="T461" s="26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spans="1:20" s="14" customFormat="1" x14ac:dyDescent="0.25">
      <c r="A462" t="s">
        <v>2520</v>
      </c>
      <c r="B462" s="26" t="s">
        <v>2521</v>
      </c>
      <c r="C462" s="27">
        <v>7</v>
      </c>
      <c r="D462" s="76" t="s">
        <v>29</v>
      </c>
      <c r="E462" s="26" t="s">
        <v>2403</v>
      </c>
      <c r="F462" s="33"/>
      <c r="G462" s="26" t="s">
        <v>2522</v>
      </c>
      <c r="H462" s="56">
        <v>10</v>
      </c>
      <c r="I462" s="32"/>
      <c r="J462" s="11">
        <v>3</v>
      </c>
      <c r="K462" s="12" t="s">
        <v>130</v>
      </c>
      <c r="L462" s="33" t="s">
        <v>536</v>
      </c>
      <c r="M462" s="26" t="s">
        <v>957</v>
      </c>
      <c r="N462" s="26" t="s">
        <v>110</v>
      </c>
      <c r="O462" s="26" t="s">
        <v>698</v>
      </c>
      <c r="P462" s="26" t="s">
        <v>491</v>
      </c>
      <c r="Q462" s="26" t="s">
        <v>1619</v>
      </c>
      <c r="R462" s="26" t="s">
        <v>667</v>
      </c>
      <c r="S462" s="26"/>
      <c r="T462" s="26"/>
    </row>
    <row r="463" spans="1:38" s="16" customFormat="1" x14ac:dyDescent="0.25">
      <c r="A463" s="4"/>
      <c r="B463" s="26" t="s">
        <v>2523</v>
      </c>
      <c r="C463" s="27"/>
      <c r="D463" s="76" t="s">
        <v>29</v>
      </c>
      <c r="E463" s="26" t="s">
        <v>2403</v>
      </c>
      <c r="F463" s="33"/>
      <c r="G463" s="26" t="s">
        <v>2524</v>
      </c>
      <c r="H463" s="56">
        <v>10</v>
      </c>
      <c r="I463" s="32"/>
      <c r="J463" s="11">
        <v>2</v>
      </c>
      <c r="K463" s="12" t="s">
        <v>2525</v>
      </c>
      <c r="L463" s="33" t="s">
        <v>1015</v>
      </c>
      <c r="M463" s="26" t="s">
        <v>1323</v>
      </c>
      <c r="N463" s="26"/>
      <c r="O463" s="26" t="s">
        <v>2526</v>
      </c>
      <c r="P463" s="26" t="s">
        <v>232</v>
      </c>
      <c r="Q463" s="26" t="s">
        <v>1770</v>
      </c>
      <c r="R463" s="26" t="s">
        <v>1804</v>
      </c>
      <c r="S463" s="26" t="s">
        <v>441</v>
      </c>
      <c r="T463" s="26" t="s">
        <v>442</v>
      </c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spans="1:20" s="14" customFormat="1" x14ac:dyDescent="0.25">
      <c r="A464" t="s">
        <v>2527</v>
      </c>
      <c r="B464" s="26" t="s">
        <v>2528</v>
      </c>
      <c r="C464" s="27"/>
      <c r="D464" s="76" t="s">
        <v>29</v>
      </c>
      <c r="E464" s="26" t="s">
        <v>2403</v>
      </c>
      <c r="F464" s="33"/>
      <c r="G464" s="26" t="s">
        <v>2529</v>
      </c>
      <c r="H464" s="56">
        <v>10</v>
      </c>
      <c r="I464" s="32"/>
      <c r="J464" s="11">
        <v>4</v>
      </c>
      <c r="K464" s="12" t="s">
        <v>146</v>
      </c>
      <c r="L464" s="33" t="s">
        <v>536</v>
      </c>
      <c r="M464" s="26" t="s">
        <v>957</v>
      </c>
      <c r="N464" s="26" t="s">
        <v>110</v>
      </c>
      <c r="O464" s="26" t="s">
        <v>698</v>
      </c>
      <c r="P464" s="26" t="s">
        <v>829</v>
      </c>
      <c r="Q464" s="26" t="s">
        <v>512</v>
      </c>
      <c r="R464" s="26" t="s">
        <v>361</v>
      </c>
      <c r="S464" s="26"/>
      <c r="T464" s="26"/>
    </row>
    <row r="465" spans="1:20" x14ac:dyDescent="0.25">
      <c r="A465" t="s">
        <v>2530</v>
      </c>
      <c r="B465" s="26" t="s">
        <v>2531</v>
      </c>
      <c r="C465" s="35">
        <v>8.8</v>
      </c>
      <c r="D465" s="76" t="s">
        <v>29</v>
      </c>
      <c r="E465" s="26" t="s">
        <v>2403</v>
      </c>
      <c r="F465" s="33" t="s">
        <v>39</v>
      </c>
      <c r="G465" s="26" t="s">
        <v>2532</v>
      </c>
      <c r="H465" s="56">
        <v>24</v>
      </c>
      <c r="I465" s="32"/>
      <c r="J465" s="11">
        <v>2</v>
      </c>
      <c r="K465" s="12" t="s">
        <v>440</v>
      </c>
      <c r="L465" s="33" t="s">
        <v>845</v>
      </c>
      <c r="M465" s="26" t="s">
        <v>600</v>
      </c>
      <c r="N465" s="26" t="s">
        <v>147</v>
      </c>
      <c r="O465" s="26"/>
      <c r="P465" s="26" t="s">
        <v>789</v>
      </c>
      <c r="Q465" s="26" t="s">
        <v>388</v>
      </c>
      <c r="R465" s="26" t="s">
        <v>2533</v>
      </c>
      <c r="S465" s="26" t="s">
        <v>823</v>
      </c>
      <c r="T465" s="26" t="s">
        <v>2534</v>
      </c>
    </row>
    <row r="466" spans="1:20" x14ac:dyDescent="0.25">
      <c r="A466" s="4" t="s">
        <v>2535</v>
      </c>
      <c r="B466" s="26" t="s">
        <v>2536</v>
      </c>
      <c r="C466" s="27"/>
      <c r="D466" s="55" t="s">
        <v>29</v>
      </c>
      <c r="E466" s="26" t="s">
        <v>2537</v>
      </c>
      <c r="F466" s="33"/>
      <c r="G466" s="26" t="s">
        <v>2538</v>
      </c>
      <c r="H466" s="56">
        <v>20</v>
      </c>
      <c r="I466" s="32"/>
      <c r="J466" s="11">
        <v>3</v>
      </c>
      <c r="K466" s="34" t="s">
        <v>264</v>
      </c>
      <c r="L466" s="33" t="s">
        <v>1244</v>
      </c>
      <c r="M466" s="26" t="s">
        <v>379</v>
      </c>
      <c r="N466" s="26" t="s">
        <v>250</v>
      </c>
      <c r="O466" s="26" t="s">
        <v>830</v>
      </c>
      <c r="P466" s="26"/>
      <c r="Q466" s="26" t="s">
        <v>2539</v>
      </c>
      <c r="R466" s="26" t="s">
        <v>913</v>
      </c>
      <c r="S466" s="26" t="s">
        <v>42</v>
      </c>
      <c r="T466" s="26" t="s">
        <v>423</v>
      </c>
    </row>
    <row r="467" spans="1:20" x14ac:dyDescent="0.25">
      <c r="A467" t="s">
        <v>2540</v>
      </c>
      <c r="B467" s="26" t="s">
        <v>2541</v>
      </c>
      <c r="C467" s="35">
        <v>7</v>
      </c>
      <c r="D467" s="55" t="s">
        <v>29</v>
      </c>
      <c r="E467" s="26" t="s">
        <v>2537</v>
      </c>
      <c r="F467" s="33"/>
      <c r="G467" s="26" t="s">
        <v>2542</v>
      </c>
      <c r="H467" s="56">
        <v>20</v>
      </c>
      <c r="I467" s="32"/>
      <c r="J467" s="11">
        <v>2</v>
      </c>
      <c r="K467" s="34" t="s">
        <v>854</v>
      </c>
      <c r="L467" s="33" t="s">
        <v>1506</v>
      </c>
      <c r="M467" s="26" t="s">
        <v>313</v>
      </c>
      <c r="N467" s="26" t="s">
        <v>483</v>
      </c>
      <c r="O467" s="26" t="s">
        <v>698</v>
      </c>
      <c r="P467" s="26" t="s">
        <v>285</v>
      </c>
      <c r="Q467" s="26" t="s">
        <v>346</v>
      </c>
      <c r="R467" s="26"/>
      <c r="S467" s="26"/>
      <c r="T467" s="26"/>
    </row>
    <row r="468" spans="2:20" s="14" customFormat="1" x14ac:dyDescent="0.25">
      <c r="B468" s="26" t="s">
        <v>2543</v>
      </c>
      <c r="C468" s="27"/>
      <c r="D468" s="55" t="s">
        <v>29</v>
      </c>
      <c r="E468" s="26" t="s">
        <v>2537</v>
      </c>
      <c r="F468" s="33"/>
      <c r="G468" s="26" t="s">
        <v>2544</v>
      </c>
      <c r="H468" s="56">
        <v>20</v>
      </c>
      <c r="I468" s="32"/>
      <c r="J468" s="15">
        <v>0</v>
      </c>
      <c r="K468" s="34" t="s">
        <v>2545</v>
      </c>
      <c r="L468" s="33" t="s">
        <v>1512</v>
      </c>
      <c r="M468" s="26" t="s">
        <v>2138</v>
      </c>
      <c r="N468" s="26" t="s">
        <v>214</v>
      </c>
      <c r="O468" s="26" t="s">
        <v>912</v>
      </c>
      <c r="P468" s="26"/>
      <c r="Q468" s="26"/>
      <c r="R468" s="26"/>
      <c r="S468" s="26"/>
      <c r="T468" s="26"/>
    </row>
    <row r="469" spans="1:20" x14ac:dyDescent="0.25">
      <c r="A469" s="4"/>
      <c r="B469" s="26" t="s">
        <v>2546</v>
      </c>
      <c r="C469" s="27"/>
      <c r="D469" s="26" t="s">
        <v>29</v>
      </c>
      <c r="E469" s="26" t="s">
        <v>2537</v>
      </c>
      <c r="F469" s="33"/>
      <c r="G469" s="182" t="s">
        <v>2547</v>
      </c>
      <c r="H469" s="56">
        <v>20</v>
      </c>
      <c r="I469" s="32"/>
      <c r="J469" s="15">
        <v>0</v>
      </c>
      <c r="K469" s="12"/>
      <c r="L469" s="33" t="s">
        <v>507</v>
      </c>
      <c r="M469" s="26" t="s">
        <v>711</v>
      </c>
      <c r="N469" s="26"/>
      <c r="O469" s="26"/>
      <c r="P469" s="26"/>
      <c r="Q469" s="26"/>
      <c r="R469" s="26"/>
      <c r="S469" s="165"/>
      <c r="T469" s="165"/>
    </row>
    <row r="470" spans="1:20" s="14" customFormat="1" x14ac:dyDescent="0.25">
      <c r="A470" t="s">
        <v>2548</v>
      </c>
      <c r="B470" s="26" t="s">
        <v>2549</v>
      </c>
      <c r="C470" s="27"/>
      <c r="D470" s="55" t="s">
        <v>29</v>
      </c>
      <c r="E470" s="26" t="s">
        <v>2537</v>
      </c>
      <c r="F470" s="33"/>
      <c r="G470" s="26" t="s">
        <v>2550</v>
      </c>
      <c r="H470" s="56">
        <v>11</v>
      </c>
      <c r="I470" s="32"/>
      <c r="J470" s="11">
        <v>3</v>
      </c>
      <c r="K470" s="12" t="s">
        <v>2551</v>
      </c>
      <c r="L470" s="33" t="s">
        <v>647</v>
      </c>
      <c r="M470" s="26" t="s">
        <v>1071</v>
      </c>
      <c r="N470" s="26" t="s">
        <v>1754</v>
      </c>
      <c r="O470" s="26" t="s">
        <v>2261</v>
      </c>
      <c r="P470" s="26"/>
      <c r="Q470" s="26"/>
      <c r="R470" s="26"/>
      <c r="S470" s="26"/>
      <c r="T470" s="26"/>
    </row>
    <row r="471" spans="1:20" s="14" customFormat="1" x14ac:dyDescent="0.25">
      <c r="A471" t="s">
        <v>2552</v>
      </c>
      <c r="B471" s="26" t="s">
        <v>2553</v>
      </c>
      <c r="C471" s="27"/>
      <c r="D471" s="55" t="s">
        <v>29</v>
      </c>
      <c r="E471" s="26" t="s">
        <v>2537</v>
      </c>
      <c r="F471" s="33"/>
      <c r="G471" s="26" t="s">
        <v>2554</v>
      </c>
      <c r="H471" s="56">
        <v>11</v>
      </c>
      <c r="I471" s="32"/>
      <c r="J471" s="15">
        <v>0</v>
      </c>
      <c r="K471" s="12" t="s">
        <v>579</v>
      </c>
      <c r="L471" s="33" t="s">
        <v>647</v>
      </c>
      <c r="M471" s="26" t="s">
        <v>1443</v>
      </c>
      <c r="N471" s="26" t="s">
        <v>413</v>
      </c>
      <c r="O471" s="26"/>
      <c r="P471" s="26"/>
      <c r="Q471" s="26"/>
      <c r="R471" s="26"/>
      <c r="S471" s="26"/>
      <c r="T471" s="26"/>
    </row>
    <row r="472" spans="1:20" s="14" customFormat="1" x14ac:dyDescent="0.25">
      <c r="A472" t="s">
        <v>2555</v>
      </c>
      <c r="B472" s="26" t="s">
        <v>2556</v>
      </c>
      <c r="C472" s="27"/>
      <c r="D472" s="55" t="s">
        <v>29</v>
      </c>
      <c r="E472" s="26" t="s">
        <v>2537</v>
      </c>
      <c r="F472" s="33"/>
      <c r="G472" s="26" t="s">
        <v>2557</v>
      </c>
      <c r="H472" s="56">
        <v>11</v>
      </c>
      <c r="I472" s="32"/>
      <c r="J472" s="15">
        <v>0</v>
      </c>
      <c r="K472" s="12" t="s">
        <v>2558</v>
      </c>
      <c r="L472" s="33" t="s">
        <v>2559</v>
      </c>
      <c r="M472" s="26" t="s">
        <v>2261</v>
      </c>
      <c r="N472" s="26" t="s">
        <v>971</v>
      </c>
      <c r="O472" s="26" t="s">
        <v>292</v>
      </c>
      <c r="P472" s="26" t="s">
        <v>554</v>
      </c>
      <c r="Q472" s="26"/>
      <c r="R472" s="26"/>
      <c r="S472" s="26"/>
      <c r="T472" s="26"/>
    </row>
    <row r="473" spans="1:20" s="14" customFormat="1" x14ac:dyDescent="0.25">
      <c r="A473" t="s">
        <v>2560</v>
      </c>
      <c r="B473" s="26" t="s">
        <v>2561</v>
      </c>
      <c r="C473" s="27"/>
      <c r="D473" s="55" t="s">
        <v>29</v>
      </c>
      <c r="E473" s="26" t="s">
        <v>2537</v>
      </c>
      <c r="F473" s="33"/>
      <c r="G473" s="26" t="s">
        <v>2562</v>
      </c>
      <c r="H473" s="56">
        <v>11</v>
      </c>
      <c r="I473" s="32"/>
      <c r="J473" s="11">
        <v>1</v>
      </c>
      <c r="K473" s="12" t="s">
        <v>1077</v>
      </c>
      <c r="L473" s="33" t="s">
        <v>2563</v>
      </c>
      <c r="M473" s="26" t="s">
        <v>647</v>
      </c>
      <c r="N473" s="26" t="s">
        <v>1754</v>
      </c>
      <c r="O473" s="26" t="s">
        <v>2261</v>
      </c>
      <c r="P473" s="26"/>
      <c r="Q473" s="26"/>
      <c r="R473" s="26"/>
      <c r="S473" s="26"/>
      <c r="T473" s="26"/>
    </row>
    <row r="474" spans="1:20" s="14" customFormat="1" x14ac:dyDescent="0.25">
      <c r="A474" s="16"/>
      <c r="B474" s="17" t="s">
        <v>2564</v>
      </c>
      <c r="C474" s="18"/>
      <c r="D474" s="99" t="s">
        <v>29</v>
      </c>
      <c r="E474" s="17" t="s">
        <v>2537</v>
      </c>
      <c r="F474" s="25"/>
      <c r="G474" s="17" t="s">
        <v>2565</v>
      </c>
      <c r="H474" s="100">
        <v>20</v>
      </c>
      <c r="I474" s="23"/>
      <c r="J474" s="15">
        <v>1</v>
      </c>
      <c r="K474" s="24" t="s">
        <v>2566</v>
      </c>
      <c r="L474" s="25" t="s">
        <v>1065</v>
      </c>
      <c r="M474" s="17" t="s">
        <v>1002</v>
      </c>
      <c r="N474" s="17" t="s">
        <v>1377</v>
      </c>
      <c r="O474" s="17" t="s">
        <v>435</v>
      </c>
      <c r="P474" s="17"/>
      <c r="Q474" s="17"/>
      <c r="R474" s="17"/>
      <c r="S474" s="17"/>
      <c r="T474" s="17"/>
    </row>
    <row r="475" spans="1:20" x14ac:dyDescent="0.25">
      <c r="A475" t="s">
        <v>2567</v>
      </c>
      <c r="B475" s="26" t="s">
        <v>2568</v>
      </c>
      <c r="C475" s="27"/>
      <c r="D475" s="55" t="s">
        <v>29</v>
      </c>
      <c r="E475" s="26" t="s">
        <v>2537</v>
      </c>
      <c r="F475" s="33"/>
      <c r="G475" s="26" t="s">
        <v>2569</v>
      </c>
      <c r="H475" s="56">
        <v>20</v>
      </c>
      <c r="I475" s="71"/>
      <c r="J475" s="15">
        <v>0</v>
      </c>
      <c r="K475" s="12" t="s">
        <v>1667</v>
      </c>
      <c r="L475" s="33" t="s">
        <v>1065</v>
      </c>
      <c r="M475" s="26" t="s">
        <v>602</v>
      </c>
      <c r="N475" s="26" t="s">
        <v>1634</v>
      </c>
      <c r="O475" s="26" t="s">
        <v>66</v>
      </c>
      <c r="P475" s="26" t="s">
        <v>1205</v>
      </c>
      <c r="Q475" s="26"/>
      <c r="R475" s="26"/>
      <c r="S475" s="26"/>
      <c r="T475" s="26"/>
    </row>
    <row r="476" spans="2:38" s="16" customFormat="1" x14ac:dyDescent="0.25">
      <c r="B476" s="26" t="s">
        <v>2570</v>
      </c>
      <c r="C476" s="27"/>
      <c r="D476" s="55" t="s">
        <v>29</v>
      </c>
      <c r="E476" s="26" t="s">
        <v>2537</v>
      </c>
      <c r="F476" s="33"/>
      <c r="G476" s="26" t="s">
        <v>2571</v>
      </c>
      <c r="H476" s="56">
        <v>20</v>
      </c>
      <c r="I476" s="193"/>
      <c r="J476" s="194">
        <v>0</v>
      </c>
      <c r="K476" s="12" t="s">
        <v>2572</v>
      </c>
      <c r="L476" s="33" t="s">
        <v>1065</v>
      </c>
      <c r="M476" s="26" t="s">
        <v>2573</v>
      </c>
      <c r="N476" s="26"/>
      <c r="O476" s="26"/>
      <c r="P476" s="26"/>
      <c r="Q476" s="26"/>
      <c r="R476" s="26"/>
      <c r="S476" s="26"/>
      <c r="T476" s="26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 spans="1:20" x14ac:dyDescent="0.25">
      <c r="A477" t="s">
        <v>2574</v>
      </c>
      <c r="B477" s="6" t="s">
        <v>2575</v>
      </c>
      <c r="C477" s="7">
        <v>30</v>
      </c>
      <c r="D477" s="101" t="s">
        <v>5</v>
      </c>
      <c r="E477" s="6" t="s">
        <v>2537</v>
      </c>
      <c r="F477" s="8"/>
      <c r="G477" s="6" t="s">
        <v>2575</v>
      </c>
      <c r="H477" s="9">
        <v>1</v>
      </c>
      <c r="I477" s="10"/>
      <c r="J477" s="51">
        <v>5</v>
      </c>
      <c r="K477" s="52" t="s">
        <v>1220</v>
      </c>
      <c r="L477" s="8" t="s">
        <v>1985</v>
      </c>
      <c r="M477" s="6" t="s">
        <v>2576</v>
      </c>
      <c r="N477" s="6" t="s">
        <v>1003</v>
      </c>
      <c r="O477" s="6" t="s">
        <v>2040</v>
      </c>
      <c r="P477" s="6" t="s">
        <v>1385</v>
      </c>
      <c r="Q477" s="6"/>
      <c r="R477" s="6"/>
      <c r="S477" s="6"/>
      <c r="T477" s="6"/>
    </row>
    <row r="478" spans="1:20" x14ac:dyDescent="0.25">
      <c r="A478" t="s">
        <v>2577</v>
      </c>
      <c r="B478" s="6" t="s">
        <v>2578</v>
      </c>
      <c r="C478" s="7">
        <v>8.8</v>
      </c>
      <c r="D478" s="6" t="s">
        <v>29</v>
      </c>
      <c r="E478" s="6" t="s">
        <v>2579</v>
      </c>
      <c r="F478" s="8"/>
      <c r="G478" s="6" t="s">
        <v>2580</v>
      </c>
      <c r="H478" s="50">
        <v>25</v>
      </c>
      <c r="I478" s="10"/>
      <c r="J478" s="51">
        <v>2</v>
      </c>
      <c r="K478" s="52" t="s">
        <v>440</v>
      </c>
      <c r="L478" s="8"/>
      <c r="M478" s="6" t="s">
        <v>216</v>
      </c>
      <c r="N478" s="6" t="s">
        <v>1404</v>
      </c>
      <c r="O478" s="6" t="s">
        <v>958</v>
      </c>
      <c r="P478" s="6" t="s">
        <v>539</v>
      </c>
      <c r="Q478" s="6" t="s">
        <v>2581</v>
      </c>
      <c r="R478" s="6" t="s">
        <v>212</v>
      </c>
      <c r="S478" s="6" t="s">
        <v>2582</v>
      </c>
      <c r="T478" s="6" t="s">
        <v>2583</v>
      </c>
    </row>
    <row r="479" spans="1:20" x14ac:dyDescent="0.25">
      <c r="A479" t="s">
        <v>2584</v>
      </c>
      <c r="B479" s="26" t="s">
        <v>2585</v>
      </c>
      <c r="C479" s="35">
        <v>6.6</v>
      </c>
      <c r="D479" s="26" t="s">
        <v>29</v>
      </c>
      <c r="E479" s="26" t="s">
        <v>2579</v>
      </c>
      <c r="F479" s="33"/>
      <c r="G479" s="26" t="s">
        <v>2586</v>
      </c>
      <c r="H479" s="31">
        <v>25</v>
      </c>
      <c r="I479" s="32"/>
      <c r="J479" s="11">
        <v>3</v>
      </c>
      <c r="K479" s="12" t="s">
        <v>2587</v>
      </c>
      <c r="L479" s="33" t="s">
        <v>1414</v>
      </c>
      <c r="M479" s="26" t="s">
        <v>744</v>
      </c>
      <c r="N479" s="26" t="s">
        <v>2300</v>
      </c>
      <c r="O479" s="26" t="s">
        <v>133</v>
      </c>
      <c r="P479" s="26" t="s">
        <v>2327</v>
      </c>
      <c r="Q479" s="26" t="s">
        <v>583</v>
      </c>
      <c r="R479" s="26" t="s">
        <v>812</v>
      </c>
      <c r="S479" s="26"/>
      <c r="T479" s="26" t="s">
        <v>83</v>
      </c>
    </row>
    <row r="480" spans="1:20" x14ac:dyDescent="0.25">
      <c r="A480" s="4" t="s">
        <v>2588</v>
      </c>
      <c r="B480" s="26" t="s">
        <v>2589</v>
      </c>
      <c r="C480" s="27">
        <v>7.3</v>
      </c>
      <c r="D480" s="26" t="s">
        <v>29</v>
      </c>
      <c r="E480" s="26" t="s">
        <v>2579</v>
      </c>
      <c r="F480" s="33"/>
      <c r="G480" s="26" t="s">
        <v>2590</v>
      </c>
      <c r="H480" s="31">
        <v>25</v>
      </c>
      <c r="I480" s="32"/>
      <c r="J480" s="11">
        <v>5</v>
      </c>
      <c r="K480" s="12" t="s">
        <v>2591</v>
      </c>
      <c r="L480" s="33" t="s">
        <v>174</v>
      </c>
      <c r="M480" s="28" t="s">
        <v>2327</v>
      </c>
      <c r="N480" s="26" t="s">
        <v>170</v>
      </c>
      <c r="O480" s="26" t="s">
        <v>2592</v>
      </c>
      <c r="P480" s="26" t="s">
        <v>2300</v>
      </c>
      <c r="Q480" s="26" t="s">
        <v>806</v>
      </c>
      <c r="R480" s="26" t="s">
        <v>62</v>
      </c>
      <c r="S480" s="26" t="s">
        <v>473</v>
      </c>
      <c r="T480" s="26" t="s">
        <v>134</v>
      </c>
    </row>
    <row r="481" spans="1:20" x14ac:dyDescent="0.25">
      <c r="A481" t="s">
        <v>2593</v>
      </c>
      <c r="B481" s="6" t="s">
        <v>2594</v>
      </c>
      <c r="C481" s="7">
        <v>7.1</v>
      </c>
      <c r="D481" s="6" t="s">
        <v>1974</v>
      </c>
      <c r="E481" s="6" t="s">
        <v>2579</v>
      </c>
      <c r="F481" s="8"/>
      <c r="G481" s="6" t="s">
        <v>2595</v>
      </c>
      <c r="H481" s="50">
        <v>12</v>
      </c>
      <c r="I481" s="10"/>
      <c r="J481" s="15">
        <v>0</v>
      </c>
      <c r="K481" s="52" t="s">
        <v>733</v>
      </c>
      <c r="L481" s="8" t="s">
        <v>60</v>
      </c>
      <c r="M481" s="13"/>
      <c r="N481" s="6" t="s">
        <v>675</v>
      </c>
      <c r="O481" s="6" t="s">
        <v>379</v>
      </c>
      <c r="P481" s="6" t="s">
        <v>926</v>
      </c>
      <c r="Q481" s="6" t="s">
        <v>1619</v>
      </c>
      <c r="R481" s="6" t="s">
        <v>2218</v>
      </c>
      <c r="S481" s="6" t="s">
        <v>219</v>
      </c>
      <c r="T481" s="6" t="s">
        <v>163</v>
      </c>
    </row>
    <row r="482" spans="1:20" x14ac:dyDescent="0.25">
      <c r="A482" t="s">
        <v>2596</v>
      </c>
      <c r="B482" s="26" t="s">
        <v>2597</v>
      </c>
      <c r="C482" s="27">
        <v>2.5</v>
      </c>
      <c r="D482" s="26" t="s">
        <v>29</v>
      </c>
      <c r="E482" s="26" t="s">
        <v>2579</v>
      </c>
      <c r="F482" s="33"/>
      <c r="G482" s="26" t="s">
        <v>2598</v>
      </c>
      <c r="H482" s="31">
        <v>5</v>
      </c>
      <c r="I482" s="32" t="s">
        <v>2599</v>
      </c>
      <c r="J482" s="11">
        <v>1</v>
      </c>
      <c r="K482" s="12" t="s">
        <v>2600</v>
      </c>
      <c r="L482" s="33" t="s">
        <v>2601</v>
      </c>
      <c r="M482" s="28" t="s">
        <v>45</v>
      </c>
      <c r="N482" s="26" t="s">
        <v>135</v>
      </c>
      <c r="O482" s="26" t="s">
        <v>213</v>
      </c>
      <c r="P482" s="26"/>
      <c r="Q482" s="26" t="s">
        <v>1039</v>
      </c>
      <c r="R482" s="26" t="s">
        <v>589</v>
      </c>
      <c r="S482" s="26" t="s">
        <v>1003</v>
      </c>
      <c r="T482" s="26" t="s">
        <v>1244</v>
      </c>
    </row>
    <row r="483" spans="1:20" x14ac:dyDescent="0.25">
      <c r="A483" t="s">
        <v>2602</v>
      </c>
      <c r="B483" s="49" t="s">
        <v>2603</v>
      </c>
      <c r="C483" s="103">
        <v>9.2</v>
      </c>
      <c r="D483" s="49" t="s">
        <v>29</v>
      </c>
      <c r="E483" s="49" t="s">
        <v>2579</v>
      </c>
      <c r="F483" s="75"/>
      <c r="G483" s="49" t="s">
        <v>2604</v>
      </c>
      <c r="H483" s="112">
        <v>24</v>
      </c>
      <c r="I483" s="191"/>
      <c r="J483" s="39">
        <v>1</v>
      </c>
      <c r="K483" s="52" t="s">
        <v>440</v>
      </c>
      <c r="L483" s="8"/>
      <c r="M483" s="6"/>
      <c r="N483" s="6"/>
      <c r="O483" s="6"/>
      <c r="P483" s="6"/>
      <c r="Q483" s="6"/>
      <c r="R483" s="6"/>
      <c r="S483" s="6"/>
      <c r="T483" s="195"/>
    </row>
    <row r="484" spans="1:20" x14ac:dyDescent="0.25">
      <c r="A484" t="s">
        <v>2602</v>
      </c>
      <c r="B484" s="49" t="s">
        <v>2605</v>
      </c>
      <c r="C484" s="103">
        <v>9.2</v>
      </c>
      <c r="D484" s="49" t="s">
        <v>29</v>
      </c>
      <c r="E484" s="49" t="s">
        <v>2579</v>
      </c>
      <c r="F484" s="75"/>
      <c r="G484" s="49" t="s">
        <v>2606</v>
      </c>
      <c r="H484" s="112">
        <v>24</v>
      </c>
      <c r="I484" s="191"/>
      <c r="J484" s="39">
        <v>5</v>
      </c>
      <c r="K484" s="52" t="s">
        <v>574</v>
      </c>
      <c r="L484" s="8" t="s">
        <v>426</v>
      </c>
      <c r="M484" s="6"/>
      <c r="N484" s="6" t="s">
        <v>2607</v>
      </c>
      <c r="O484" s="6" t="s">
        <v>48</v>
      </c>
      <c r="P484" s="6" t="s">
        <v>161</v>
      </c>
      <c r="Q484" s="6" t="s">
        <v>174</v>
      </c>
      <c r="R484" s="6" t="s">
        <v>169</v>
      </c>
      <c r="S484" s="6" t="s">
        <v>2608</v>
      </c>
      <c r="T484" s="6" t="s">
        <v>464</v>
      </c>
    </row>
    <row r="485" spans="1:38" s="40" customFormat="1" x14ac:dyDescent="0.25">
      <c r="A485" s="4" t="s">
        <v>2609</v>
      </c>
      <c r="B485" s="76" t="s">
        <v>2610</v>
      </c>
      <c r="C485" s="77">
        <v>8</v>
      </c>
      <c r="D485" s="76" t="s">
        <v>29</v>
      </c>
      <c r="E485" s="76" t="s">
        <v>2579</v>
      </c>
      <c r="F485" s="30"/>
      <c r="G485" s="76" t="s">
        <v>2611</v>
      </c>
      <c r="H485" s="78">
        <v>24</v>
      </c>
      <c r="I485" s="196"/>
      <c r="J485" s="37">
        <v>2</v>
      </c>
      <c r="K485" s="12" t="s">
        <v>41</v>
      </c>
      <c r="L485" s="33" t="s">
        <v>913</v>
      </c>
      <c r="M485" s="26" t="s">
        <v>1375</v>
      </c>
      <c r="N485" s="26" t="s">
        <v>219</v>
      </c>
      <c r="O485" s="26"/>
      <c r="P485" s="26" t="s">
        <v>214</v>
      </c>
      <c r="Q485" s="26" t="s">
        <v>625</v>
      </c>
      <c r="R485" s="26" t="s">
        <v>902</v>
      </c>
      <c r="S485" s="26" t="s">
        <v>537</v>
      </c>
      <c r="T485" s="26" t="s">
        <v>2412</v>
      </c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 spans="1:20" s="14" customFormat="1" x14ac:dyDescent="0.25">
      <c r="A486" t="s">
        <v>2612</v>
      </c>
      <c r="B486" s="76" t="s">
        <v>2613</v>
      </c>
      <c r="C486" s="77">
        <v>10</v>
      </c>
      <c r="D486" s="76" t="s">
        <v>29</v>
      </c>
      <c r="E486" s="76" t="s">
        <v>2579</v>
      </c>
      <c r="F486" s="30"/>
      <c r="G486" s="76" t="s">
        <v>2614</v>
      </c>
      <c r="H486" s="78">
        <v>24</v>
      </c>
      <c r="I486" s="196"/>
      <c r="J486" s="37">
        <v>2</v>
      </c>
      <c r="K486" s="12" t="s">
        <v>1540</v>
      </c>
      <c r="L486" s="33"/>
      <c r="M486" s="26" t="s">
        <v>1469</v>
      </c>
      <c r="N486" s="26" t="s">
        <v>705</v>
      </c>
      <c r="O486" s="26" t="s">
        <v>2198</v>
      </c>
      <c r="P486" s="26" t="s">
        <v>1871</v>
      </c>
      <c r="Q486" s="26" t="s">
        <v>275</v>
      </c>
      <c r="R486" s="26" t="s">
        <v>2615</v>
      </c>
      <c r="S486" s="26" t="s">
        <v>255</v>
      </c>
      <c r="T486" s="26" t="s">
        <v>1055</v>
      </c>
    </row>
    <row r="487" spans="1:20" x14ac:dyDescent="0.25">
      <c r="A487" s="4" t="s">
        <v>2616</v>
      </c>
      <c r="B487" s="76" t="s">
        <v>2617</v>
      </c>
      <c r="C487" s="77">
        <v>7.8</v>
      </c>
      <c r="D487" s="76" t="s">
        <v>29</v>
      </c>
      <c r="E487" s="76" t="s">
        <v>2579</v>
      </c>
      <c r="F487" s="30"/>
      <c r="G487" s="76" t="s">
        <v>2618</v>
      </c>
      <c r="H487" s="78">
        <v>24</v>
      </c>
      <c r="I487" s="196"/>
      <c r="J487" s="37">
        <v>6</v>
      </c>
      <c r="K487" s="12" t="s">
        <v>1667</v>
      </c>
      <c r="L487" s="33" t="s">
        <v>379</v>
      </c>
      <c r="M487" s="26" t="s">
        <v>2592</v>
      </c>
      <c r="N487" s="26" t="s">
        <v>286</v>
      </c>
      <c r="O487" s="26" t="s">
        <v>928</v>
      </c>
      <c r="P487" s="26" t="s">
        <v>292</v>
      </c>
      <c r="Q487" s="26"/>
      <c r="R487" s="26" t="s">
        <v>453</v>
      </c>
      <c r="S487" s="26" t="s">
        <v>565</v>
      </c>
      <c r="T487" s="26" t="s">
        <v>358</v>
      </c>
    </row>
    <row r="488" spans="1:20" x14ac:dyDescent="0.25">
      <c r="A488" s="4" t="s">
        <v>2619</v>
      </c>
      <c r="B488" s="76" t="s">
        <v>2620</v>
      </c>
      <c r="C488" s="77"/>
      <c r="D488" s="76" t="s">
        <v>29</v>
      </c>
      <c r="E488" s="76" t="s">
        <v>2579</v>
      </c>
      <c r="F488" s="30"/>
      <c r="G488" s="76" t="s">
        <v>2621</v>
      </c>
      <c r="H488" s="78">
        <v>30</v>
      </c>
      <c r="I488" s="196"/>
      <c r="J488" s="96">
        <v>0</v>
      </c>
      <c r="K488" s="12" t="s">
        <v>854</v>
      </c>
      <c r="L488" s="33" t="s">
        <v>554</v>
      </c>
      <c r="M488" s="26"/>
      <c r="N488" s="26"/>
      <c r="O488" s="26"/>
      <c r="P488" s="26"/>
      <c r="Q488" s="26"/>
      <c r="R488" s="26"/>
      <c r="S488" s="26"/>
      <c r="T488" s="26"/>
    </row>
    <row r="489" spans="1:20" x14ac:dyDescent="0.25">
      <c r="A489" s="4" t="s">
        <v>2622</v>
      </c>
      <c r="B489" s="76" t="s">
        <v>2623</v>
      </c>
      <c r="C489" s="77"/>
      <c r="D489" s="76" t="s">
        <v>29</v>
      </c>
      <c r="E489" s="76" t="s">
        <v>2579</v>
      </c>
      <c r="F489" s="30"/>
      <c r="G489" s="76" t="s">
        <v>2624</v>
      </c>
      <c r="H489" s="78">
        <v>30</v>
      </c>
      <c r="I489" s="196"/>
      <c r="J489" s="37">
        <v>4</v>
      </c>
      <c r="K489" s="12" t="s">
        <v>168</v>
      </c>
      <c r="L489" s="33" t="s">
        <v>147</v>
      </c>
      <c r="M489" s="26" t="s">
        <v>148</v>
      </c>
      <c r="N489" s="26"/>
      <c r="O489" s="26"/>
      <c r="P489" s="26"/>
      <c r="Q489" s="26"/>
      <c r="R489" s="26"/>
      <c r="S489" s="26"/>
      <c r="T489" s="26"/>
    </row>
    <row r="490" spans="1:20" x14ac:dyDescent="0.25">
      <c r="A490" s="4" t="s">
        <v>2625</v>
      </c>
      <c r="B490" s="76" t="s">
        <v>2626</v>
      </c>
      <c r="C490" s="77"/>
      <c r="D490" s="76" t="s">
        <v>29</v>
      </c>
      <c r="E490" s="76" t="s">
        <v>2579</v>
      </c>
      <c r="F490" s="30"/>
      <c r="G490" s="76" t="s">
        <v>2627</v>
      </c>
      <c r="H490" s="78">
        <v>30</v>
      </c>
      <c r="I490" s="196"/>
      <c r="J490" s="37">
        <v>2</v>
      </c>
      <c r="K490" s="12" t="s">
        <v>552</v>
      </c>
      <c r="L490" s="33" t="s">
        <v>1530</v>
      </c>
      <c r="M490" s="26" t="s">
        <v>553</v>
      </c>
      <c r="N490" s="26"/>
      <c r="O490" s="26"/>
      <c r="P490" s="26"/>
      <c r="Q490" s="26"/>
      <c r="R490" s="26"/>
      <c r="S490" s="26"/>
      <c r="T490" s="26"/>
    </row>
    <row r="491" spans="1:20" s="16" customFormat="1" x14ac:dyDescent="0.25">
      <c r="A491" s="16" t="s">
        <v>2628</v>
      </c>
      <c r="B491" s="92" t="s">
        <v>2629</v>
      </c>
      <c r="C491" s="93"/>
      <c r="D491" s="92" t="s">
        <v>29</v>
      </c>
      <c r="E491" s="92" t="s">
        <v>2579</v>
      </c>
      <c r="F491" s="21"/>
      <c r="G491" s="92" t="s">
        <v>2630</v>
      </c>
      <c r="H491" s="94">
        <v>30</v>
      </c>
      <c r="I491" s="197"/>
      <c r="J491" s="96">
        <v>0</v>
      </c>
      <c r="K491" s="24" t="s">
        <v>1667</v>
      </c>
      <c r="L491" s="25" t="s">
        <v>147</v>
      </c>
      <c r="M491" s="17"/>
      <c r="N491" s="17"/>
      <c r="O491" s="17"/>
      <c r="P491" s="17"/>
      <c r="Q491" s="17"/>
      <c r="R491" s="17"/>
      <c r="S491" s="17"/>
      <c r="T491" s="17"/>
    </row>
    <row r="492" spans="1:20" x14ac:dyDescent="0.25">
      <c r="A492" s="4" t="s">
        <v>2631</v>
      </c>
      <c r="B492" s="76" t="s">
        <v>2632</v>
      </c>
      <c r="C492" s="77"/>
      <c r="D492" s="76" t="s">
        <v>29</v>
      </c>
      <c r="E492" s="76" t="s">
        <v>2579</v>
      </c>
      <c r="F492" s="30"/>
      <c r="G492" s="76" t="s">
        <v>2633</v>
      </c>
      <c r="H492" s="78">
        <v>30</v>
      </c>
      <c r="I492" s="196"/>
      <c r="J492" s="37">
        <v>5</v>
      </c>
      <c r="K492" s="12" t="s">
        <v>168</v>
      </c>
      <c r="L492" s="33" t="s">
        <v>554</v>
      </c>
      <c r="M492" s="26"/>
      <c r="N492" s="26"/>
      <c r="O492" s="26"/>
      <c r="P492" s="26"/>
      <c r="Q492" s="26"/>
      <c r="R492" s="26"/>
      <c r="S492" s="26"/>
      <c r="T492" s="26"/>
    </row>
    <row r="493" spans="1:20" x14ac:dyDescent="0.25">
      <c r="A493" s="4" t="s">
        <v>2634</v>
      </c>
      <c r="B493" s="76" t="s">
        <v>2635</v>
      </c>
      <c r="C493" s="77"/>
      <c r="D493" s="76" t="s">
        <v>29</v>
      </c>
      <c r="E493" s="76" t="s">
        <v>2579</v>
      </c>
      <c r="F493" s="30"/>
      <c r="G493" s="76" t="s">
        <v>2636</v>
      </c>
      <c r="H493" s="78">
        <v>30</v>
      </c>
      <c r="I493" s="196"/>
      <c r="J493" s="37">
        <v>6</v>
      </c>
      <c r="K493" s="12" t="s">
        <v>356</v>
      </c>
      <c r="L493" s="33" t="s">
        <v>147</v>
      </c>
      <c r="M493" s="26"/>
      <c r="N493" s="26"/>
      <c r="O493" s="26"/>
      <c r="P493" s="26"/>
      <c r="Q493" s="26"/>
      <c r="R493" s="26"/>
      <c r="S493" s="26"/>
      <c r="T493" s="26"/>
    </row>
    <row r="494" spans="1:20" x14ac:dyDescent="0.25">
      <c r="A494" s="4" t="s">
        <v>2637</v>
      </c>
      <c r="B494" s="76" t="s">
        <v>2638</v>
      </c>
      <c r="C494" s="77"/>
      <c r="D494" s="76" t="s">
        <v>29</v>
      </c>
      <c r="E494" s="76" t="s">
        <v>2579</v>
      </c>
      <c r="F494" s="30"/>
      <c r="G494" s="76" t="s">
        <v>2639</v>
      </c>
      <c r="H494" s="78">
        <v>30</v>
      </c>
      <c r="I494" s="196"/>
      <c r="J494" s="37">
        <v>9</v>
      </c>
      <c r="K494" s="12" t="s">
        <v>2024</v>
      </c>
      <c r="L494" s="33"/>
      <c r="M494" s="26"/>
      <c r="N494" s="26"/>
      <c r="O494" s="26"/>
      <c r="P494" s="26"/>
      <c r="Q494" s="26"/>
      <c r="R494" s="26"/>
      <c r="S494" s="26"/>
      <c r="T494" s="26"/>
    </row>
    <row r="495" spans="1:20" x14ac:dyDescent="0.25">
      <c r="A495" s="4" t="s">
        <v>2640</v>
      </c>
      <c r="B495" s="26" t="s">
        <v>2641</v>
      </c>
      <c r="C495" s="27">
        <v>7.6</v>
      </c>
      <c r="D495" s="55" t="s">
        <v>29</v>
      </c>
      <c r="E495" s="26" t="s">
        <v>2579</v>
      </c>
      <c r="F495" s="33"/>
      <c r="G495" s="26" t="s">
        <v>2642</v>
      </c>
      <c r="H495" s="56">
        <v>12</v>
      </c>
      <c r="I495" s="32" t="s">
        <v>2643</v>
      </c>
      <c r="J495" s="11">
        <v>7</v>
      </c>
      <c r="K495" s="12" t="s">
        <v>2591</v>
      </c>
      <c r="L495" s="30" t="s">
        <v>2300</v>
      </c>
      <c r="M495" s="26" t="s">
        <v>64</v>
      </c>
      <c r="N495" s="26" t="s">
        <v>285</v>
      </c>
      <c r="O495" s="26" t="s">
        <v>212</v>
      </c>
      <c r="P495" s="26" t="s">
        <v>170</v>
      </c>
      <c r="Q495" s="26" t="s">
        <v>1566</v>
      </c>
      <c r="R495" s="28" t="s">
        <v>2644</v>
      </c>
      <c r="S495" s="26" t="s">
        <v>2267</v>
      </c>
      <c r="T495" s="26" t="s">
        <v>2300</v>
      </c>
    </row>
    <row r="496" spans="1:20" x14ac:dyDescent="0.25">
      <c r="A496" s="4" t="s">
        <v>2645</v>
      </c>
      <c r="B496" s="26" t="s">
        <v>2646</v>
      </c>
      <c r="C496" s="27">
        <v>7.5</v>
      </c>
      <c r="D496" s="55" t="s">
        <v>29</v>
      </c>
      <c r="E496" s="26" t="s">
        <v>2579</v>
      </c>
      <c r="F496" s="33"/>
      <c r="G496" s="26" t="s">
        <v>2647</v>
      </c>
      <c r="H496" s="56">
        <v>12</v>
      </c>
      <c r="I496" s="32" t="s">
        <v>2648</v>
      </c>
      <c r="J496" s="15">
        <v>0</v>
      </c>
      <c r="K496" s="12" t="s">
        <v>2381</v>
      </c>
      <c r="L496" s="30" t="s">
        <v>1354</v>
      </c>
      <c r="M496" s="26" t="s">
        <v>613</v>
      </c>
      <c r="N496" s="26" t="s">
        <v>473</v>
      </c>
      <c r="O496" s="26" t="s">
        <v>1304</v>
      </c>
      <c r="P496" s="26" t="s">
        <v>2649</v>
      </c>
      <c r="Q496" s="26" t="s">
        <v>1033</v>
      </c>
      <c r="R496" s="26" t="s">
        <v>465</v>
      </c>
      <c r="S496" s="26" t="s">
        <v>470</v>
      </c>
      <c r="T496" s="26"/>
    </row>
    <row r="497" spans="1:20" x14ac:dyDescent="0.25">
      <c r="A497" t="s">
        <v>2650</v>
      </c>
      <c r="B497" s="26" t="s">
        <v>2651</v>
      </c>
      <c r="C497" s="27">
        <v>7.6</v>
      </c>
      <c r="D497" s="55" t="s">
        <v>29</v>
      </c>
      <c r="E497" s="26" t="s">
        <v>2579</v>
      </c>
      <c r="F497" s="33"/>
      <c r="G497" s="26" t="s">
        <v>2652</v>
      </c>
      <c r="H497" s="56">
        <v>12</v>
      </c>
      <c r="I497" s="32" t="s">
        <v>2653</v>
      </c>
      <c r="J497" s="11">
        <v>5</v>
      </c>
      <c r="K497" s="12" t="s">
        <v>2068</v>
      </c>
      <c r="L497" s="33" t="s">
        <v>148</v>
      </c>
      <c r="M497" s="26"/>
      <c r="N497" s="26" t="s">
        <v>2226</v>
      </c>
      <c r="O497" s="26" t="s">
        <v>2654</v>
      </c>
      <c r="P497" s="26" t="s">
        <v>1674</v>
      </c>
      <c r="Q497" s="26" t="s">
        <v>2300</v>
      </c>
      <c r="R497" s="26" t="s">
        <v>659</v>
      </c>
      <c r="S497" s="26" t="s">
        <v>64</v>
      </c>
      <c r="T497" s="26" t="s">
        <v>276</v>
      </c>
    </row>
    <row r="498" spans="1:20" x14ac:dyDescent="0.25">
      <c r="A498" t="s">
        <v>2655</v>
      </c>
      <c r="B498" s="26" t="s">
        <v>2656</v>
      </c>
      <c r="C498" s="27">
        <v>7.6</v>
      </c>
      <c r="D498" s="55" t="s">
        <v>29</v>
      </c>
      <c r="E498" s="26" t="s">
        <v>2579</v>
      </c>
      <c r="F498" s="33"/>
      <c r="G498" s="26" t="s">
        <v>2657</v>
      </c>
      <c r="H498" s="56">
        <v>12</v>
      </c>
      <c r="I498" s="32" t="s">
        <v>2658</v>
      </c>
      <c r="J498" s="11">
        <v>6</v>
      </c>
      <c r="K498" s="12" t="s">
        <v>157</v>
      </c>
      <c r="L498" s="33"/>
      <c r="M498" s="26" t="s">
        <v>2659</v>
      </c>
      <c r="N498" s="26" t="s">
        <v>2660</v>
      </c>
      <c r="O498" s="26" t="s">
        <v>216</v>
      </c>
      <c r="P498" s="26" t="s">
        <v>500</v>
      </c>
      <c r="Q498" s="26" t="s">
        <v>2661</v>
      </c>
      <c r="R498" s="26" t="s">
        <v>256</v>
      </c>
      <c r="S498" s="26" t="s">
        <v>642</v>
      </c>
      <c r="T498" s="26" t="s">
        <v>463</v>
      </c>
    </row>
    <row r="499" spans="1:20" x14ac:dyDescent="0.25">
      <c r="A499" s="4" t="s">
        <v>2662</v>
      </c>
      <c r="B499" s="26" t="s">
        <v>2663</v>
      </c>
      <c r="C499" s="35">
        <v>7</v>
      </c>
      <c r="D499" s="55" t="s">
        <v>29</v>
      </c>
      <c r="E499" s="26" t="s">
        <v>2579</v>
      </c>
      <c r="F499" s="33" t="s">
        <v>39</v>
      </c>
      <c r="G499" s="26" t="s">
        <v>2664</v>
      </c>
      <c r="H499" s="56">
        <v>25</v>
      </c>
      <c r="I499" s="32"/>
      <c r="J499" s="11">
        <v>3</v>
      </c>
      <c r="K499" s="12" t="s">
        <v>367</v>
      </c>
      <c r="L499" s="33" t="s">
        <v>651</v>
      </c>
      <c r="M499" s="26" t="s">
        <v>382</v>
      </c>
      <c r="N499" s="26" t="s">
        <v>66</v>
      </c>
      <c r="O499" s="26" t="s">
        <v>193</v>
      </c>
      <c r="P499" s="26"/>
      <c r="Q499" s="26" t="s">
        <v>805</v>
      </c>
      <c r="R499" s="26" t="s">
        <v>2665</v>
      </c>
      <c r="S499" s="26" t="s">
        <v>256</v>
      </c>
      <c r="T499" s="28" t="s">
        <v>45</v>
      </c>
    </row>
    <row r="500" spans="1:20" x14ac:dyDescent="0.25">
      <c r="A500" t="s">
        <v>2666</v>
      </c>
      <c r="B500" s="6" t="s">
        <v>2667</v>
      </c>
      <c r="C500" s="7">
        <v>7</v>
      </c>
      <c r="D500" s="101" t="s">
        <v>29</v>
      </c>
      <c r="E500" s="6" t="s">
        <v>2579</v>
      </c>
      <c r="F500" s="8"/>
      <c r="G500" s="6" t="s">
        <v>2668</v>
      </c>
      <c r="H500" s="9">
        <v>25</v>
      </c>
      <c r="I500" s="10"/>
      <c r="J500" s="51">
        <v>3</v>
      </c>
      <c r="K500" s="52" t="s">
        <v>356</v>
      </c>
      <c r="L500" s="8" t="s">
        <v>66</v>
      </c>
      <c r="M500" s="6" t="s">
        <v>283</v>
      </c>
      <c r="N500" s="6" t="s">
        <v>1323</v>
      </c>
      <c r="O500" s="6" t="s">
        <v>193</v>
      </c>
      <c r="P500" s="6"/>
      <c r="Q500" s="6" t="s">
        <v>48</v>
      </c>
      <c r="R500" s="6" t="s">
        <v>26</v>
      </c>
      <c r="S500" s="6" t="s">
        <v>1483</v>
      </c>
      <c r="T500" s="13" t="s">
        <v>212</v>
      </c>
    </row>
    <row r="501" spans="1:20" x14ac:dyDescent="0.25">
      <c r="A501" s="4"/>
      <c r="B501" s="26" t="s">
        <v>2669</v>
      </c>
      <c r="C501" s="27">
        <v>7.5</v>
      </c>
      <c r="D501" s="55" t="s">
        <v>29</v>
      </c>
      <c r="E501" s="26" t="s">
        <v>2579</v>
      </c>
      <c r="F501" s="33"/>
      <c r="G501" s="26" t="s">
        <v>2670</v>
      </c>
      <c r="H501" s="56">
        <v>20</v>
      </c>
      <c r="I501" s="32" t="s">
        <v>2671</v>
      </c>
      <c r="J501" s="11">
        <v>2</v>
      </c>
      <c r="K501" s="12" t="s">
        <v>1592</v>
      </c>
      <c r="L501" s="33" t="s">
        <v>135</v>
      </c>
      <c r="M501" s="26" t="s">
        <v>1323</v>
      </c>
      <c r="N501" s="26"/>
      <c r="O501" s="26" t="s">
        <v>96</v>
      </c>
      <c r="P501" s="26" t="s">
        <v>10</v>
      </c>
      <c r="Q501" s="26" t="s">
        <v>238</v>
      </c>
      <c r="R501" s="26" t="s">
        <v>616</v>
      </c>
      <c r="S501" s="26" t="s">
        <v>1804</v>
      </c>
      <c r="T501" s="26" t="s">
        <v>1354</v>
      </c>
    </row>
    <row r="502" spans="1:38" s="16" customFormat="1" x14ac:dyDescent="0.25">
      <c r="A502" s="4" t="s">
        <v>2672</v>
      </c>
      <c r="B502" s="26" t="s">
        <v>2673</v>
      </c>
      <c r="C502" s="27">
        <v>7.5</v>
      </c>
      <c r="D502" s="55" t="s">
        <v>29</v>
      </c>
      <c r="E502" s="26" t="s">
        <v>2579</v>
      </c>
      <c r="F502" s="33"/>
      <c r="G502" s="26" t="s">
        <v>2674</v>
      </c>
      <c r="H502" s="56">
        <v>20</v>
      </c>
      <c r="I502" s="32" t="s">
        <v>2671</v>
      </c>
      <c r="J502" s="11">
        <v>1</v>
      </c>
      <c r="K502" s="12" t="s">
        <v>1592</v>
      </c>
      <c r="L502" s="33" t="s">
        <v>1581</v>
      </c>
      <c r="M502" s="26" t="s">
        <v>714</v>
      </c>
      <c r="N502" s="26" t="s">
        <v>1494</v>
      </c>
      <c r="O502" s="26" t="s">
        <v>1692</v>
      </c>
      <c r="P502" s="26" t="s">
        <v>238</v>
      </c>
      <c r="Q502" s="26" t="s">
        <v>1804</v>
      </c>
      <c r="R502" s="26" t="s">
        <v>358</v>
      </c>
      <c r="S502" s="26" t="s">
        <v>135</v>
      </c>
      <c r="T502" s="26" t="s">
        <v>283</v>
      </c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spans="1:20" s="14" customFormat="1" x14ac:dyDescent="0.25">
      <c r="A503" s="4" t="s">
        <v>2675</v>
      </c>
      <c r="B503" s="26" t="s">
        <v>2676</v>
      </c>
      <c r="C503" s="27">
        <v>7.5</v>
      </c>
      <c r="D503" s="55" t="s">
        <v>29</v>
      </c>
      <c r="E503" s="26" t="s">
        <v>2579</v>
      </c>
      <c r="F503" s="33"/>
      <c r="G503" s="26" t="s">
        <v>2677</v>
      </c>
      <c r="H503" s="56">
        <v>20</v>
      </c>
      <c r="I503" s="32" t="s">
        <v>2671</v>
      </c>
      <c r="J503" s="11">
        <v>2</v>
      </c>
      <c r="K503" s="12" t="s">
        <v>211</v>
      </c>
      <c r="L503" s="33" t="s">
        <v>2678</v>
      </c>
      <c r="M503" s="26" t="s">
        <v>2407</v>
      </c>
      <c r="N503" s="26" t="s">
        <v>705</v>
      </c>
      <c r="O503" s="26" t="s">
        <v>496</v>
      </c>
      <c r="P503" s="26" t="s">
        <v>737</v>
      </c>
      <c r="Q503" s="26" t="s">
        <v>1692</v>
      </c>
      <c r="R503" s="26" t="s">
        <v>1804</v>
      </c>
      <c r="S503" s="26" t="s">
        <v>135</v>
      </c>
      <c r="T503" s="26"/>
    </row>
    <row r="504" spans="1:38" s="16" customFormat="1" x14ac:dyDescent="0.25">
      <c r="A504" t="s">
        <v>2679</v>
      </c>
      <c r="B504" s="76" t="s">
        <v>2680</v>
      </c>
      <c r="C504" s="77"/>
      <c r="D504" s="55" t="s">
        <v>29</v>
      </c>
      <c r="E504" s="26" t="s">
        <v>2579</v>
      </c>
      <c r="F504" s="33"/>
      <c r="G504" s="55" t="s">
        <v>2681</v>
      </c>
      <c r="H504" s="56">
        <v>10</v>
      </c>
      <c r="I504" s="32"/>
      <c r="J504" s="11">
        <v>4</v>
      </c>
      <c r="K504" s="12" t="s">
        <v>2682</v>
      </c>
      <c r="L504" s="33" t="s">
        <v>1915</v>
      </c>
      <c r="M504" s="26" t="s">
        <v>2225</v>
      </c>
      <c r="N504" s="26" t="s">
        <v>2683</v>
      </c>
      <c r="O504" s="26" t="s">
        <v>1542</v>
      </c>
      <c r="P504" s="26" t="s">
        <v>295</v>
      </c>
      <c r="Q504" s="26" t="s">
        <v>388</v>
      </c>
      <c r="R504" s="26" t="s">
        <v>135</v>
      </c>
      <c r="S504" s="26" t="s">
        <v>895</v>
      </c>
      <c r="T504" s="26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 spans="1:20" x14ac:dyDescent="0.25">
      <c r="A505" s="4" t="s">
        <v>2684</v>
      </c>
      <c r="B505" s="76" t="s">
        <v>2685</v>
      </c>
      <c r="C505" s="77">
        <v>7.9</v>
      </c>
      <c r="D505" s="76" t="s">
        <v>29</v>
      </c>
      <c r="E505" s="76" t="s">
        <v>2579</v>
      </c>
      <c r="F505" s="30"/>
      <c r="G505" s="76" t="s">
        <v>2686</v>
      </c>
      <c r="H505" s="78">
        <v>24</v>
      </c>
      <c r="I505" s="196"/>
      <c r="J505" s="37">
        <v>12</v>
      </c>
      <c r="K505" s="12" t="s">
        <v>2687</v>
      </c>
      <c r="L505" s="33" t="s">
        <v>126</v>
      </c>
      <c r="M505" s="26" t="s">
        <v>126</v>
      </c>
      <c r="N505" s="26" t="s">
        <v>935</v>
      </c>
      <c r="O505" s="26" t="s">
        <v>1358</v>
      </c>
      <c r="P505" s="26" t="s">
        <v>435</v>
      </c>
      <c r="Q505" s="26" t="s">
        <v>88</v>
      </c>
      <c r="R505" s="26" t="s">
        <v>598</v>
      </c>
      <c r="S505" s="26" t="s">
        <v>473</v>
      </c>
      <c r="T505" s="26"/>
    </row>
    <row r="506" spans="1:20" x14ac:dyDescent="0.25">
      <c r="A506" s="4" t="s">
        <v>2688</v>
      </c>
      <c r="B506" s="76" t="s">
        <v>2689</v>
      </c>
      <c r="C506" s="77"/>
      <c r="D506" s="76" t="s">
        <v>29</v>
      </c>
      <c r="E506" s="76" t="s">
        <v>2579</v>
      </c>
      <c r="F506" s="30"/>
      <c r="G506" s="76" t="s">
        <v>2690</v>
      </c>
      <c r="H506" s="78">
        <v>10</v>
      </c>
      <c r="I506" s="196"/>
      <c r="J506" s="37">
        <v>7</v>
      </c>
      <c r="K506" s="12" t="s">
        <v>168</v>
      </c>
      <c r="L506" s="33" t="s">
        <v>403</v>
      </c>
      <c r="M506" s="26" t="s">
        <v>735</v>
      </c>
      <c r="N506" s="26"/>
      <c r="O506" s="26"/>
      <c r="P506" s="26"/>
      <c r="Q506" s="26"/>
      <c r="R506" s="26"/>
      <c r="S506" s="26"/>
      <c r="T506" s="26"/>
    </row>
    <row r="507" spans="1:20" s="16" customFormat="1" x14ac:dyDescent="0.25">
      <c r="A507" s="16" t="s">
        <v>2691</v>
      </c>
      <c r="B507" s="92" t="s">
        <v>2692</v>
      </c>
      <c r="C507" s="93"/>
      <c r="D507" s="92" t="s">
        <v>29</v>
      </c>
      <c r="E507" s="92" t="s">
        <v>2579</v>
      </c>
      <c r="F507" s="21"/>
      <c r="G507" s="92" t="s">
        <v>2693</v>
      </c>
      <c r="H507" s="94">
        <v>10</v>
      </c>
      <c r="I507" s="197"/>
      <c r="J507" s="96">
        <v>0</v>
      </c>
      <c r="K507" s="24" t="s">
        <v>168</v>
      </c>
      <c r="L507" s="25" t="s">
        <v>965</v>
      </c>
      <c r="M507" s="17"/>
      <c r="N507" s="17"/>
      <c r="O507" s="17"/>
      <c r="P507" s="17"/>
      <c r="Q507" s="17"/>
      <c r="R507" s="17"/>
      <c r="S507" s="17"/>
      <c r="T507" s="17"/>
    </row>
    <row r="508" spans="1:20" x14ac:dyDescent="0.25">
      <c r="A508" t="s">
        <v>2694</v>
      </c>
      <c r="B508" s="26" t="s">
        <v>2695</v>
      </c>
      <c r="C508" s="27"/>
      <c r="D508" s="28" t="s">
        <v>29</v>
      </c>
      <c r="E508" s="29" t="s">
        <v>2696</v>
      </c>
      <c r="F508" s="30"/>
      <c r="G508" s="26" t="s">
        <v>2697</v>
      </c>
      <c r="H508" s="31">
        <v>3</v>
      </c>
      <c r="I508" s="32"/>
      <c r="J508" s="11">
        <v>9</v>
      </c>
      <c r="K508" s="12" t="s">
        <v>686</v>
      </c>
      <c r="L508" s="149" t="s">
        <v>1166</v>
      </c>
      <c r="M508" s="26" t="s">
        <v>1166</v>
      </c>
      <c r="N508" s="26" t="s">
        <v>2698</v>
      </c>
      <c r="O508" s="26" t="s">
        <v>283</v>
      </c>
      <c r="P508" s="26" t="s">
        <v>600</v>
      </c>
      <c r="Q508" s="26"/>
      <c r="R508" s="26"/>
      <c r="S508" s="26"/>
      <c r="T508" s="26"/>
    </row>
    <row r="509" spans="1:20" x14ac:dyDescent="0.25">
      <c r="A509" s="4" t="s">
        <v>638</v>
      </c>
      <c r="B509" s="26" t="s">
        <v>2699</v>
      </c>
      <c r="C509" s="27"/>
      <c r="D509" s="28" t="s">
        <v>29</v>
      </c>
      <c r="E509" s="29" t="s">
        <v>2696</v>
      </c>
      <c r="F509" s="30"/>
      <c r="G509" s="26" t="s">
        <v>2700</v>
      </c>
      <c r="H509" s="31">
        <v>5</v>
      </c>
      <c r="I509" s="32" t="s">
        <v>2701</v>
      </c>
      <c r="J509" s="11">
        <v>4</v>
      </c>
      <c r="K509" s="12" t="s">
        <v>412</v>
      </c>
      <c r="L509" s="149" t="s">
        <v>135</v>
      </c>
      <c r="M509" s="26" t="s">
        <v>24</v>
      </c>
      <c r="N509" s="26" t="s">
        <v>615</v>
      </c>
      <c r="O509" s="26" t="s">
        <v>818</v>
      </c>
      <c r="P509" s="26" t="s">
        <v>259</v>
      </c>
      <c r="Q509" s="26" t="s">
        <v>539</v>
      </c>
      <c r="R509" s="41" t="s">
        <v>2702</v>
      </c>
      <c r="S509" s="26" t="s">
        <v>62</v>
      </c>
      <c r="T509" s="26" t="s">
        <v>174</v>
      </c>
    </row>
    <row r="510" spans="1:20" s="14" customFormat="1" x14ac:dyDescent="0.25">
      <c r="A510" t="s">
        <v>2703</v>
      </c>
      <c r="B510" s="26" t="s">
        <v>2704</v>
      </c>
      <c r="C510" s="27"/>
      <c r="D510" s="28" t="s">
        <v>5</v>
      </c>
      <c r="E510" s="29" t="s">
        <v>2696</v>
      </c>
      <c r="F510" s="30"/>
      <c r="G510" s="26" t="s">
        <v>2705</v>
      </c>
      <c r="H510" s="31">
        <v>6</v>
      </c>
      <c r="I510" s="32"/>
      <c r="J510" s="11">
        <v>1</v>
      </c>
      <c r="K510" s="12" t="s">
        <v>2706</v>
      </c>
      <c r="L510" s="149" t="s">
        <v>2707</v>
      </c>
      <c r="M510" s="26" t="s">
        <v>721</v>
      </c>
      <c r="N510" s="26" t="s">
        <v>2708</v>
      </c>
      <c r="O510" s="26" t="s">
        <v>2709</v>
      </c>
      <c r="P510" s="26" t="s">
        <v>463</v>
      </c>
      <c r="Q510" s="26" t="s">
        <v>600</v>
      </c>
      <c r="R510" s="26" t="s">
        <v>172</v>
      </c>
      <c r="S510" s="26" t="s">
        <v>965</v>
      </c>
      <c r="T510" s="26"/>
    </row>
    <row r="511" spans="1:20" x14ac:dyDescent="0.25">
      <c r="A511" s="16" t="s">
        <v>2710</v>
      </c>
      <c r="B511" s="17" t="s">
        <v>2711</v>
      </c>
      <c r="C511" s="18"/>
      <c r="D511" s="17" t="s">
        <v>29</v>
      </c>
      <c r="E511" s="20" t="s">
        <v>2696</v>
      </c>
      <c r="F511" s="21"/>
      <c r="G511" s="17" t="s">
        <v>2712</v>
      </c>
      <c r="H511" s="22">
        <v>10</v>
      </c>
      <c r="I511" s="23"/>
      <c r="J511" s="15">
        <v>1</v>
      </c>
      <c r="K511" s="24" t="s">
        <v>2713</v>
      </c>
      <c r="L511" s="25" t="s">
        <v>1815</v>
      </c>
      <c r="M511" s="17" t="s">
        <v>2714</v>
      </c>
      <c r="N511" s="17" t="s">
        <v>107</v>
      </c>
      <c r="O511" s="17" t="s">
        <v>992</v>
      </c>
      <c r="P511" s="17" t="s">
        <v>536</v>
      </c>
      <c r="Q511" s="17"/>
      <c r="R511" s="17"/>
      <c r="S511" s="17"/>
      <c r="T511" s="17"/>
    </row>
    <row r="512" spans="1:20" s="14" customFormat="1" x14ac:dyDescent="0.25">
      <c r="A512" s="4" t="s">
        <v>2715</v>
      </c>
      <c r="B512" s="26" t="s">
        <v>2716</v>
      </c>
      <c r="C512" s="27">
        <v>7.5</v>
      </c>
      <c r="D512" s="28" t="s">
        <v>29</v>
      </c>
      <c r="E512" s="29" t="s">
        <v>2696</v>
      </c>
      <c r="F512" s="30"/>
      <c r="G512" s="26" t="s">
        <v>2717</v>
      </c>
      <c r="H512" s="31">
        <v>10</v>
      </c>
      <c r="I512" s="32"/>
      <c r="J512" s="15">
        <v>0</v>
      </c>
      <c r="K512" s="12" t="s">
        <v>2718</v>
      </c>
      <c r="L512" s="33" t="s">
        <v>36</v>
      </c>
      <c r="M512" s="26" t="s">
        <v>170</v>
      </c>
      <c r="N512" s="26" t="s">
        <v>60</v>
      </c>
      <c r="O512" s="28" t="s">
        <v>403</v>
      </c>
      <c r="P512" s="26" t="s">
        <v>735</v>
      </c>
      <c r="Q512" s="26"/>
      <c r="R512" s="26" t="s">
        <v>65</v>
      </c>
      <c r="S512" s="26" t="s">
        <v>162</v>
      </c>
      <c r="T512" s="26" t="s">
        <v>2719</v>
      </c>
    </row>
    <row r="513" spans="1:20" s="14" customFormat="1" x14ac:dyDescent="0.25">
      <c r="A513" s="4" t="s">
        <v>2720</v>
      </c>
      <c r="B513" s="26" t="s">
        <v>2721</v>
      </c>
      <c r="C513" s="27">
        <v>9.1</v>
      </c>
      <c r="D513" s="28" t="s">
        <v>29</v>
      </c>
      <c r="E513" s="29" t="s">
        <v>2696</v>
      </c>
      <c r="F513" s="30"/>
      <c r="G513" s="26" t="s">
        <v>2722</v>
      </c>
      <c r="H513" s="31">
        <v>10</v>
      </c>
      <c r="I513" s="32"/>
      <c r="J513" s="11">
        <v>9</v>
      </c>
      <c r="K513" s="12">
        <v>5</v>
      </c>
      <c r="L513" s="33" t="s">
        <v>213</v>
      </c>
      <c r="M513" s="26"/>
      <c r="N513" s="26" t="s">
        <v>1773</v>
      </c>
      <c r="O513" s="26" t="s">
        <v>642</v>
      </c>
      <c r="P513" s="28" t="s">
        <v>159</v>
      </c>
      <c r="Q513" s="26" t="s">
        <v>433</v>
      </c>
      <c r="R513" s="26" t="s">
        <v>48</v>
      </c>
      <c r="S513" s="26" t="s">
        <v>1015</v>
      </c>
      <c r="T513" s="26" t="s">
        <v>162</v>
      </c>
    </row>
    <row r="514" spans="1:38" s="16" customFormat="1" x14ac:dyDescent="0.25">
      <c r="A514" t="s">
        <v>2723</v>
      </c>
      <c r="B514" s="26" t="s">
        <v>2724</v>
      </c>
      <c r="C514" s="35">
        <v>9.1</v>
      </c>
      <c r="D514" s="28" t="s">
        <v>29</v>
      </c>
      <c r="E514" s="29" t="s">
        <v>2696</v>
      </c>
      <c r="F514" s="30"/>
      <c r="G514" s="26" t="s">
        <v>2725</v>
      </c>
      <c r="H514" s="31">
        <v>10</v>
      </c>
      <c r="I514" s="32" t="s">
        <v>2726</v>
      </c>
      <c r="J514" s="11">
        <v>3</v>
      </c>
      <c r="K514" s="12" t="s">
        <v>2727</v>
      </c>
      <c r="L514" s="149" t="s">
        <v>2728</v>
      </c>
      <c r="M514" s="26" t="s">
        <v>248</v>
      </c>
      <c r="N514" s="26" t="s">
        <v>1875</v>
      </c>
      <c r="O514" s="26" t="s">
        <v>1207</v>
      </c>
      <c r="P514" s="26" t="s">
        <v>735</v>
      </c>
      <c r="Q514" s="26"/>
      <c r="R514" s="26" t="s">
        <v>2729</v>
      </c>
      <c r="S514" s="26" t="s">
        <v>1456</v>
      </c>
      <c r="T514" s="26" t="s">
        <v>10</v>
      </c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spans="2:20" s="40" customFormat="1" x14ac:dyDescent="0.25">
      <c r="B515" s="42" t="s">
        <v>2730</v>
      </c>
      <c r="C515" s="43"/>
      <c r="D515" s="42" t="s">
        <v>29</v>
      </c>
      <c r="E515" s="106" t="s">
        <v>2696</v>
      </c>
      <c r="F515" s="87"/>
      <c r="G515" s="42" t="s">
        <v>2731</v>
      </c>
      <c r="H515" s="45">
        <v>10</v>
      </c>
      <c r="I515" s="46"/>
      <c r="J515" s="47">
        <v>0</v>
      </c>
      <c r="K515" s="48" t="s">
        <v>2732</v>
      </c>
      <c r="L515" s="44" t="s">
        <v>771</v>
      </c>
      <c r="M515" s="42" t="s">
        <v>2733</v>
      </c>
      <c r="N515" s="42" t="s">
        <v>1593</v>
      </c>
      <c r="O515" s="42" t="s">
        <v>107</v>
      </c>
      <c r="P515" s="42"/>
      <c r="Q515" s="42"/>
      <c r="R515" s="42"/>
      <c r="S515" s="42"/>
      <c r="T515" s="42"/>
    </row>
    <row r="516" spans="1:20" x14ac:dyDescent="0.25">
      <c r="A516" t="s">
        <v>2734</v>
      </c>
      <c r="B516" s="26" t="s">
        <v>2735</v>
      </c>
      <c r="C516" s="27">
        <v>8</v>
      </c>
      <c r="D516" s="26" t="s">
        <v>29</v>
      </c>
      <c r="E516" s="29" t="s">
        <v>2696</v>
      </c>
      <c r="F516" s="30"/>
      <c r="G516" s="26" t="s">
        <v>2736</v>
      </c>
      <c r="H516" s="31">
        <v>10</v>
      </c>
      <c r="I516" s="32"/>
      <c r="J516" s="11">
        <v>2</v>
      </c>
      <c r="K516" s="11" t="s">
        <v>1592</v>
      </c>
      <c r="L516" s="33" t="s">
        <v>191</v>
      </c>
      <c r="M516" s="26" t="s">
        <v>231</v>
      </c>
      <c r="N516" s="26" t="s">
        <v>537</v>
      </c>
      <c r="O516" s="26" t="s">
        <v>1261</v>
      </c>
      <c r="P516" s="26" t="s">
        <v>1547</v>
      </c>
      <c r="Q516" s="26" t="s">
        <v>48</v>
      </c>
      <c r="R516" s="26" t="s">
        <v>212</v>
      </c>
      <c r="S516" s="26"/>
      <c r="T516" s="26"/>
    </row>
    <row r="517" spans="1:20" s="14" customFormat="1" x14ac:dyDescent="0.25">
      <c r="A517" t="s">
        <v>2737</v>
      </c>
      <c r="B517" s="26" t="s">
        <v>2738</v>
      </c>
      <c r="C517" s="27"/>
      <c r="D517" s="26" t="s">
        <v>29</v>
      </c>
      <c r="E517" s="29" t="s">
        <v>2696</v>
      </c>
      <c r="F517" s="30"/>
      <c r="G517" s="26" t="s">
        <v>2739</v>
      </c>
      <c r="H517" s="31">
        <v>10</v>
      </c>
      <c r="I517" s="32"/>
      <c r="J517" s="11">
        <v>3</v>
      </c>
      <c r="K517" s="11" t="s">
        <v>2740</v>
      </c>
      <c r="L517" s="33" t="s">
        <v>191</v>
      </c>
      <c r="M517" s="26" t="s">
        <v>1443</v>
      </c>
      <c r="N517" s="26" t="s">
        <v>499</v>
      </c>
      <c r="O517" s="26" t="s">
        <v>537</v>
      </c>
      <c r="P517" s="26" t="s">
        <v>2741</v>
      </c>
      <c r="Q517" s="26" t="s">
        <v>612</v>
      </c>
      <c r="R517" s="26" t="s">
        <v>212</v>
      </c>
      <c r="S517" s="26"/>
      <c r="T517" s="26"/>
    </row>
    <row r="518" spans="1:20" x14ac:dyDescent="0.25">
      <c r="A518" s="4" t="s">
        <v>2742</v>
      </c>
      <c r="B518" s="26" t="s">
        <v>2743</v>
      </c>
      <c r="C518" s="27">
        <v>7.1</v>
      </c>
      <c r="D518" s="26" t="s">
        <v>29</v>
      </c>
      <c r="E518" s="29" t="s">
        <v>2696</v>
      </c>
      <c r="F518" s="30"/>
      <c r="G518" s="26" t="s">
        <v>2744</v>
      </c>
      <c r="H518" s="31">
        <v>10</v>
      </c>
      <c r="I518" s="32"/>
      <c r="J518" s="11">
        <v>5</v>
      </c>
      <c r="K518" s="12" t="s">
        <v>2745</v>
      </c>
      <c r="L518" s="33" t="s">
        <v>48</v>
      </c>
      <c r="M518" s="26" t="s">
        <v>173</v>
      </c>
      <c r="N518" s="26" t="s">
        <v>2492</v>
      </c>
      <c r="O518" s="26" t="s">
        <v>213</v>
      </c>
      <c r="P518" s="26"/>
      <c r="Q518" s="26" t="s">
        <v>844</v>
      </c>
      <c r="R518" s="26" t="s">
        <v>1244</v>
      </c>
      <c r="S518" s="26" t="s">
        <v>44</v>
      </c>
      <c r="T518" s="26" t="s">
        <v>491</v>
      </c>
    </row>
    <row r="519" spans="1:20" x14ac:dyDescent="0.25">
      <c r="A519" t="s">
        <v>2746</v>
      </c>
      <c r="B519" s="26" t="s">
        <v>2747</v>
      </c>
      <c r="C519" s="27"/>
      <c r="D519" s="26" t="s">
        <v>29</v>
      </c>
      <c r="E519" s="26" t="s">
        <v>2748</v>
      </c>
      <c r="F519" s="33"/>
      <c r="G519" s="26" t="s">
        <v>2749</v>
      </c>
      <c r="H519" s="31">
        <v>20</v>
      </c>
      <c r="I519" s="32"/>
      <c r="J519" s="11">
        <v>2</v>
      </c>
      <c r="K519" s="12" t="s">
        <v>2750</v>
      </c>
      <c r="L519" s="33" t="s">
        <v>830</v>
      </c>
      <c r="M519" s="26" t="s">
        <v>338</v>
      </c>
      <c r="N519" s="26" t="s">
        <v>2166</v>
      </c>
      <c r="O519" s="26" t="s">
        <v>910</v>
      </c>
      <c r="P519" s="26" t="s">
        <v>275</v>
      </c>
      <c r="Q519" s="26" t="s">
        <v>734</v>
      </c>
      <c r="R519" s="26" t="s">
        <v>249</v>
      </c>
      <c r="S519" s="26" t="s">
        <v>442</v>
      </c>
      <c r="T519" s="26" t="s">
        <v>652</v>
      </c>
    </row>
    <row r="520" spans="1:20" s="14" customFormat="1" x14ac:dyDescent="0.25">
      <c r="A520" s="40"/>
      <c r="B520" s="42" t="s">
        <v>2751</v>
      </c>
      <c r="C520" s="43"/>
      <c r="D520" s="42" t="s">
        <v>29</v>
      </c>
      <c r="E520" s="42" t="s">
        <v>2748</v>
      </c>
      <c r="F520" s="44"/>
      <c r="G520" s="42" t="s">
        <v>2752</v>
      </c>
      <c r="H520" s="45">
        <v>20</v>
      </c>
      <c r="I520" s="46"/>
      <c r="J520" s="47">
        <v>0</v>
      </c>
      <c r="K520" s="48" t="s">
        <v>2753</v>
      </c>
      <c r="L520" s="44" t="s">
        <v>1824</v>
      </c>
      <c r="M520" s="42" t="s">
        <v>1349</v>
      </c>
      <c r="N520" s="42" t="s">
        <v>2754</v>
      </c>
      <c r="O520" s="42" t="s">
        <v>502</v>
      </c>
      <c r="P520" s="42"/>
      <c r="Q520" s="42"/>
      <c r="R520" s="42"/>
      <c r="S520" s="42"/>
      <c r="T520" s="42"/>
    </row>
    <row r="521" spans="1:38" s="40" customFormat="1" x14ac:dyDescent="0.25">
      <c r="A521" s="40" t="s">
        <v>2755</v>
      </c>
      <c r="B521" s="42" t="s">
        <v>2756</v>
      </c>
      <c r="C521" s="43"/>
      <c r="D521" s="42" t="s">
        <v>29</v>
      </c>
      <c r="E521" s="42" t="s">
        <v>2748</v>
      </c>
      <c r="F521" s="44"/>
      <c r="G521" s="42" t="s">
        <v>2757</v>
      </c>
      <c r="H521" s="45">
        <v>20</v>
      </c>
      <c r="I521" s="46" t="s">
        <v>2726</v>
      </c>
      <c r="J521" s="47">
        <v>3</v>
      </c>
      <c r="K521" s="48" t="s">
        <v>2758</v>
      </c>
      <c r="L521" s="44" t="s">
        <v>703</v>
      </c>
      <c r="M521" s="42" t="s">
        <v>1116</v>
      </c>
      <c r="N521" s="42" t="s">
        <v>1593</v>
      </c>
      <c r="O521" s="42" t="s">
        <v>737</v>
      </c>
      <c r="P521" s="42" t="s">
        <v>1692</v>
      </c>
      <c r="Q521" s="42" t="s">
        <v>502</v>
      </c>
      <c r="R521" s="42"/>
      <c r="S521" s="42"/>
      <c r="T521" s="42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 spans="2:20" x14ac:dyDescent="0.25">
      <c r="B522" s="42" t="s">
        <v>2759</v>
      </c>
      <c r="C522" s="43"/>
      <c r="D522" s="42" t="s">
        <v>29</v>
      </c>
      <c r="E522" s="42" t="s">
        <v>2748</v>
      </c>
      <c r="F522" s="44"/>
      <c r="G522" s="42" t="s">
        <v>2760</v>
      </c>
      <c r="H522" s="45">
        <v>10</v>
      </c>
      <c r="I522" s="46"/>
      <c r="J522" s="47">
        <v>0</v>
      </c>
      <c r="K522" s="48" t="s">
        <v>2761</v>
      </c>
      <c r="L522" s="44" t="s">
        <v>507</v>
      </c>
      <c r="M522" s="42" t="s">
        <v>394</v>
      </c>
      <c r="N522" s="42"/>
      <c r="O522" s="42"/>
      <c r="P522" s="42"/>
      <c r="Q522" s="42"/>
      <c r="R522" s="42"/>
      <c r="S522" s="42"/>
      <c r="T522" s="42"/>
    </row>
    <row r="523" spans="1:20" x14ac:dyDescent="0.25">
      <c r="A523" t="s">
        <v>2762</v>
      </c>
      <c r="B523" s="6" t="s">
        <v>2763</v>
      </c>
      <c r="C523" s="7">
        <v>5</v>
      </c>
      <c r="D523" s="6" t="s">
        <v>29</v>
      </c>
      <c r="E523" s="6" t="s">
        <v>2748</v>
      </c>
      <c r="F523" s="8"/>
      <c r="G523" s="6" t="s">
        <v>2764</v>
      </c>
      <c r="H523" s="50">
        <v>20</v>
      </c>
      <c r="I523" s="10"/>
      <c r="J523" s="51">
        <v>2</v>
      </c>
      <c r="K523" s="52" t="s">
        <v>146</v>
      </c>
      <c r="L523" s="8"/>
      <c r="M523" s="6" t="s">
        <v>2765</v>
      </c>
      <c r="N523" s="6" t="s">
        <v>2497</v>
      </c>
      <c r="O523" s="6" t="s">
        <v>1734</v>
      </c>
      <c r="P523" s="6" t="s">
        <v>2766</v>
      </c>
      <c r="Q523" s="6" t="s">
        <v>102</v>
      </c>
      <c r="R523" s="6" t="s">
        <v>87</v>
      </c>
      <c r="S523" s="6" t="s">
        <v>173</v>
      </c>
      <c r="T523" s="6" t="s">
        <v>736</v>
      </c>
    </row>
    <row r="524" spans="1:20" x14ac:dyDescent="0.25">
      <c r="A524" s="16"/>
      <c r="B524" s="17" t="s">
        <v>2767</v>
      </c>
      <c r="C524" s="18">
        <v>8.5</v>
      </c>
      <c r="D524" s="17" t="s">
        <v>29</v>
      </c>
      <c r="E524" s="17" t="s">
        <v>2748</v>
      </c>
      <c r="F524" s="25"/>
      <c r="G524" s="176" t="s">
        <v>2768</v>
      </c>
      <c r="H524" s="198">
        <v>20</v>
      </c>
      <c r="I524" s="178"/>
      <c r="J524" s="179">
        <v>0</v>
      </c>
      <c r="K524" s="24" t="s">
        <v>2769</v>
      </c>
      <c r="L524" s="25" t="s">
        <v>2770</v>
      </c>
      <c r="M524" s="17" t="s">
        <v>2056</v>
      </c>
      <c r="N524" s="17" t="s">
        <v>87</v>
      </c>
      <c r="O524" s="17" t="s">
        <v>675</v>
      </c>
      <c r="P524" s="17" t="s">
        <v>1244</v>
      </c>
      <c r="Q524" s="17" t="s">
        <v>1391</v>
      </c>
      <c r="R524" s="17" t="s">
        <v>161</v>
      </c>
      <c r="S524" s="17"/>
      <c r="T524" s="17"/>
    </row>
    <row r="525" spans="1:20" x14ac:dyDescent="0.25">
      <c r="A525" s="16"/>
      <c r="B525" s="17" t="s">
        <v>2771</v>
      </c>
      <c r="C525" s="18"/>
      <c r="D525" s="17" t="s">
        <v>29</v>
      </c>
      <c r="E525" s="17" t="s">
        <v>2748</v>
      </c>
      <c r="F525" s="25"/>
      <c r="G525" s="17" t="s">
        <v>2772</v>
      </c>
      <c r="H525" s="22">
        <v>20</v>
      </c>
      <c r="I525" s="23"/>
      <c r="J525" s="15">
        <v>0</v>
      </c>
      <c r="K525" s="97"/>
      <c r="L525" s="25" t="s">
        <v>1414</v>
      </c>
      <c r="M525" s="17" t="s">
        <v>743</v>
      </c>
      <c r="N525" s="17" t="s">
        <v>26</v>
      </c>
      <c r="O525" s="17"/>
      <c r="P525" s="17" t="s">
        <v>864</v>
      </c>
      <c r="Q525" s="17" t="s">
        <v>423</v>
      </c>
      <c r="R525" s="17" t="s">
        <v>255</v>
      </c>
      <c r="S525" s="17" t="s">
        <v>1987</v>
      </c>
      <c r="T525" s="17" t="s">
        <v>2454</v>
      </c>
    </row>
    <row r="526" spans="2:20" x14ac:dyDescent="0.25">
      <c r="B526" s="26" t="s">
        <v>2773</v>
      </c>
      <c r="C526" s="27"/>
      <c r="D526" s="26" t="s">
        <v>29</v>
      </c>
      <c r="E526" s="26" t="s">
        <v>2748</v>
      </c>
      <c r="F526" s="33"/>
      <c r="G526" s="26" t="s">
        <v>2774</v>
      </c>
      <c r="H526" s="31">
        <v>20</v>
      </c>
      <c r="I526" s="32"/>
      <c r="J526" s="15">
        <v>0</v>
      </c>
      <c r="K526" s="12"/>
      <c r="L526" s="33" t="s">
        <v>2775</v>
      </c>
      <c r="M526" s="26" t="s">
        <v>110</v>
      </c>
      <c r="N526" s="26" t="s">
        <v>435</v>
      </c>
      <c r="O526" s="26" t="s">
        <v>428</v>
      </c>
      <c r="P526" s="26" t="s">
        <v>754</v>
      </c>
      <c r="Q526" s="26"/>
      <c r="R526" s="26"/>
      <c r="S526" s="26"/>
      <c r="T526" s="26"/>
    </row>
    <row r="527" spans="1:38" s="16" customFormat="1" x14ac:dyDescent="0.25">
      <c r="A527" t="s">
        <v>2776</v>
      </c>
      <c r="B527" s="26" t="s">
        <v>2777</v>
      </c>
      <c r="C527" s="27"/>
      <c r="D527" s="26" t="s">
        <v>29</v>
      </c>
      <c r="E527" s="26" t="s">
        <v>2748</v>
      </c>
      <c r="F527" s="33"/>
      <c r="G527" s="26" t="s">
        <v>2778</v>
      </c>
      <c r="H527" s="31">
        <v>20</v>
      </c>
      <c r="I527" s="32"/>
      <c r="J527" s="15">
        <v>0</v>
      </c>
      <c r="K527" s="12" t="s">
        <v>2779</v>
      </c>
      <c r="L527" s="33" t="s">
        <v>71</v>
      </c>
      <c r="M527" s="26" t="s">
        <v>125</v>
      </c>
      <c r="N527" s="26" t="s">
        <v>1593</v>
      </c>
      <c r="O527" s="26" t="s">
        <v>2780</v>
      </c>
      <c r="P527" s="26" t="s">
        <v>508</v>
      </c>
      <c r="Q527" s="26" t="s">
        <v>652</v>
      </c>
      <c r="R527" s="26"/>
      <c r="S527" s="26"/>
      <c r="T527" s="26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spans="1:38" s="16" customFormat="1" x14ac:dyDescent="0.25">
      <c r="A528" t="s">
        <v>2781</v>
      </c>
      <c r="B528" s="26" t="s">
        <v>2782</v>
      </c>
      <c r="C528" s="27"/>
      <c r="D528" s="26" t="s">
        <v>29</v>
      </c>
      <c r="E528" s="26" t="s">
        <v>2748</v>
      </c>
      <c r="F528" s="33"/>
      <c r="G528" s="26" t="s">
        <v>2783</v>
      </c>
      <c r="H528" s="31">
        <v>20</v>
      </c>
      <c r="I528" s="32"/>
      <c r="J528" s="37">
        <v>2</v>
      </c>
      <c r="K528" s="12" t="s">
        <v>2784</v>
      </c>
      <c r="L528" s="33" t="s">
        <v>2785</v>
      </c>
      <c r="M528" s="26" t="s">
        <v>22</v>
      </c>
      <c r="N528" s="26" t="s">
        <v>1349</v>
      </c>
      <c r="O528" s="26" t="s">
        <v>1719</v>
      </c>
      <c r="P528" s="26" t="s">
        <v>1719</v>
      </c>
      <c r="Q528" s="26" t="s">
        <v>1673</v>
      </c>
      <c r="R528" s="26"/>
      <c r="S528" s="26"/>
      <c r="T528" s="26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 spans="1:20" x14ac:dyDescent="0.25">
      <c r="A529" t="s">
        <v>2786</v>
      </c>
      <c r="B529" s="26" t="s">
        <v>2787</v>
      </c>
      <c r="C529" s="27"/>
      <c r="D529" s="26" t="s">
        <v>29</v>
      </c>
      <c r="E529" s="26" t="s">
        <v>2748</v>
      </c>
      <c r="F529" s="33"/>
      <c r="G529" s="26" t="s">
        <v>2788</v>
      </c>
      <c r="H529" s="31">
        <v>20</v>
      </c>
      <c r="I529" s="32"/>
      <c r="J529" s="37">
        <v>1</v>
      </c>
      <c r="K529" s="12" t="s">
        <v>2789</v>
      </c>
      <c r="L529" s="33" t="s">
        <v>539</v>
      </c>
      <c r="M529" s="26" t="s">
        <v>87</v>
      </c>
      <c r="N529" s="26" t="s">
        <v>426</v>
      </c>
      <c r="O529" s="26"/>
      <c r="P529" s="26" t="s">
        <v>1059</v>
      </c>
      <c r="Q529" s="26" t="s">
        <v>95</v>
      </c>
      <c r="R529" s="26" t="s">
        <v>1765</v>
      </c>
      <c r="S529" s="26" t="s">
        <v>350</v>
      </c>
      <c r="T529" s="26" t="s">
        <v>1365</v>
      </c>
    </row>
    <row r="530" spans="1:20" x14ac:dyDescent="0.25">
      <c r="A530" s="4" t="s">
        <v>2790</v>
      </c>
      <c r="B530" s="55" t="s">
        <v>2791</v>
      </c>
      <c r="C530" s="59">
        <v>5.4</v>
      </c>
      <c r="D530" s="55" t="s">
        <v>29</v>
      </c>
      <c r="E530" s="55" t="s">
        <v>2748</v>
      </c>
      <c r="F530" s="60"/>
      <c r="G530" s="55" t="s">
        <v>2792</v>
      </c>
      <c r="H530" s="61">
        <v>20</v>
      </c>
      <c r="I530" s="62"/>
      <c r="J530" s="170">
        <v>3</v>
      </c>
      <c r="K530" s="12" t="s">
        <v>440</v>
      </c>
      <c r="L530" s="145" t="s">
        <v>652</v>
      </c>
      <c r="M530" s="26" t="s">
        <v>940</v>
      </c>
      <c r="N530" s="26" t="s">
        <v>2401</v>
      </c>
      <c r="O530" s="26" t="s">
        <v>461</v>
      </c>
      <c r="P530" s="26"/>
      <c r="Q530" s="26" t="s">
        <v>382</v>
      </c>
      <c r="R530" s="26" t="s">
        <v>64</v>
      </c>
      <c r="S530" s="26" t="s">
        <v>134</v>
      </c>
      <c r="T530" s="26" t="s">
        <v>1959</v>
      </c>
    </row>
    <row r="531" spans="1:20" s="14" customFormat="1" x14ac:dyDescent="0.25">
      <c r="A531" s="4" t="s">
        <v>2793</v>
      </c>
      <c r="B531" s="55" t="s">
        <v>2794</v>
      </c>
      <c r="C531" s="183">
        <v>5.4</v>
      </c>
      <c r="D531" s="55" t="s">
        <v>29</v>
      </c>
      <c r="E531" s="55" t="s">
        <v>2748</v>
      </c>
      <c r="F531" s="60"/>
      <c r="G531" s="55" t="s">
        <v>2795</v>
      </c>
      <c r="H531" s="61">
        <v>20</v>
      </c>
      <c r="I531" s="62"/>
      <c r="J531" s="105">
        <v>16</v>
      </c>
      <c r="K531" s="12" t="s">
        <v>2796</v>
      </c>
      <c r="L531" s="145" t="s">
        <v>461</v>
      </c>
      <c r="M531" s="26"/>
      <c r="N531" s="26" t="s">
        <v>249</v>
      </c>
      <c r="O531" s="26" t="s">
        <v>45</v>
      </c>
      <c r="P531" s="26" t="s">
        <v>359</v>
      </c>
      <c r="Q531" s="26" t="s">
        <v>659</v>
      </c>
      <c r="R531" s="26" t="s">
        <v>61</v>
      </c>
      <c r="S531" s="26" t="s">
        <v>11</v>
      </c>
      <c r="T531" s="26" t="s">
        <v>346</v>
      </c>
    </row>
    <row r="532" spans="1:20" x14ac:dyDescent="0.25">
      <c r="A532" t="s">
        <v>2797</v>
      </c>
      <c r="B532" s="6" t="s">
        <v>2798</v>
      </c>
      <c r="C532" s="166">
        <v>3</v>
      </c>
      <c r="D532" s="6" t="s">
        <v>29</v>
      </c>
      <c r="E532" s="6" t="s">
        <v>2748</v>
      </c>
      <c r="F532" s="8"/>
      <c r="G532" s="6" t="s">
        <v>2799</v>
      </c>
      <c r="H532" s="50">
        <v>5</v>
      </c>
      <c r="I532" s="10" t="s">
        <v>2800</v>
      </c>
      <c r="J532" s="51">
        <v>3</v>
      </c>
      <c r="K532" s="52" t="s">
        <v>356</v>
      </c>
      <c r="L532" s="8" t="s">
        <v>295</v>
      </c>
      <c r="M532" s="6" t="s">
        <v>256</v>
      </c>
      <c r="N532" s="6" t="s">
        <v>45</v>
      </c>
      <c r="O532" s="6" t="s">
        <v>121</v>
      </c>
      <c r="P532" s="13" t="s">
        <v>425</v>
      </c>
      <c r="Q532" s="6" t="s">
        <v>1296</v>
      </c>
      <c r="R532" s="6" t="s">
        <v>213</v>
      </c>
      <c r="S532" s="6"/>
      <c r="T532" s="6" t="s">
        <v>1754</v>
      </c>
    </row>
    <row r="533" spans="1:20" x14ac:dyDescent="0.25">
      <c r="A533" s="4" t="s">
        <v>2801</v>
      </c>
      <c r="B533" s="55" t="s">
        <v>2802</v>
      </c>
      <c r="C533" s="59">
        <v>5.4</v>
      </c>
      <c r="D533" s="55" t="s">
        <v>29</v>
      </c>
      <c r="E533" s="55" t="s">
        <v>2748</v>
      </c>
      <c r="F533" s="60"/>
      <c r="G533" s="55" t="s">
        <v>2803</v>
      </c>
      <c r="H533" s="61">
        <v>20</v>
      </c>
      <c r="I533" s="62"/>
      <c r="J533" s="105">
        <v>7</v>
      </c>
      <c r="K533" s="12" t="s">
        <v>2804</v>
      </c>
      <c r="L533" s="145" t="s">
        <v>224</v>
      </c>
      <c r="M533" s="26" t="s">
        <v>2805</v>
      </c>
      <c r="N533" s="26" t="s">
        <v>362</v>
      </c>
      <c r="O533" s="26" t="s">
        <v>60</v>
      </c>
      <c r="P533" s="26" t="s">
        <v>735</v>
      </c>
      <c r="Q533" s="26"/>
      <c r="R533" s="26" t="s">
        <v>121</v>
      </c>
      <c r="S533" s="26" t="s">
        <v>382</v>
      </c>
      <c r="T533" s="26" t="s">
        <v>212</v>
      </c>
    </row>
    <row r="534" spans="1:20" s="14" customFormat="1" x14ac:dyDescent="0.25">
      <c r="A534" s="4" t="s">
        <v>2806</v>
      </c>
      <c r="B534" s="26" t="s">
        <v>2807</v>
      </c>
      <c r="C534" s="35">
        <v>7.2</v>
      </c>
      <c r="D534" s="26" t="s">
        <v>29</v>
      </c>
      <c r="E534" s="26" t="s">
        <v>2748</v>
      </c>
      <c r="F534" s="33"/>
      <c r="G534" s="26" t="s">
        <v>2808</v>
      </c>
      <c r="H534" s="31">
        <v>20</v>
      </c>
      <c r="I534" s="32"/>
      <c r="J534" s="11">
        <v>2</v>
      </c>
      <c r="K534" s="12" t="s">
        <v>2809</v>
      </c>
      <c r="L534" s="33" t="s">
        <v>864</v>
      </c>
      <c r="M534" s="26" t="s">
        <v>1424</v>
      </c>
      <c r="N534" s="26" t="s">
        <v>2601</v>
      </c>
      <c r="O534" s="26" t="s">
        <v>2534</v>
      </c>
      <c r="P534" s="26" t="s">
        <v>64</v>
      </c>
      <c r="Q534" s="26" t="s">
        <v>65</v>
      </c>
      <c r="R534" s="26" t="s">
        <v>1305</v>
      </c>
      <c r="S534" s="26"/>
      <c r="T534" s="26" t="s">
        <v>126</v>
      </c>
    </row>
    <row r="535" spans="1:20" x14ac:dyDescent="0.25">
      <c r="A535" t="s">
        <v>2810</v>
      </c>
      <c r="B535" s="26" t="s">
        <v>2811</v>
      </c>
      <c r="C535" s="35">
        <v>9.8</v>
      </c>
      <c r="D535" s="26" t="s">
        <v>29</v>
      </c>
      <c r="E535" s="26" t="s">
        <v>2748</v>
      </c>
      <c r="F535" s="33"/>
      <c r="G535" s="26" t="s">
        <v>2812</v>
      </c>
      <c r="H535" s="31">
        <v>20</v>
      </c>
      <c r="I535" s="32"/>
      <c r="J535" s="11">
        <v>2</v>
      </c>
      <c r="K535" s="12" t="s">
        <v>1124</v>
      </c>
      <c r="L535" s="33" t="s">
        <v>2813</v>
      </c>
      <c r="M535" s="26" t="s">
        <v>603</v>
      </c>
      <c r="N535" s="26" t="s">
        <v>864</v>
      </c>
      <c r="O535" s="26"/>
      <c r="P535" s="26"/>
      <c r="Q535" s="26"/>
      <c r="R535" s="26"/>
      <c r="S535" s="26"/>
      <c r="T535" s="26"/>
    </row>
    <row r="536" spans="1:20" s="14" customFormat="1" x14ac:dyDescent="0.25">
      <c r="A536" t="s">
        <v>2814</v>
      </c>
      <c r="B536" s="26" t="s">
        <v>2815</v>
      </c>
      <c r="C536" s="35">
        <v>8.1</v>
      </c>
      <c r="D536" s="26" t="s">
        <v>29</v>
      </c>
      <c r="E536" s="26" t="s">
        <v>2748</v>
      </c>
      <c r="F536" s="33"/>
      <c r="G536" s="26" t="s">
        <v>2816</v>
      </c>
      <c r="H536" s="31">
        <v>20</v>
      </c>
      <c r="I536" s="32"/>
      <c r="J536" s="11">
        <v>2</v>
      </c>
      <c r="K536" s="12" t="s">
        <v>2817</v>
      </c>
      <c r="L536" s="33" t="s">
        <v>2818</v>
      </c>
      <c r="M536" s="26" t="s">
        <v>2819</v>
      </c>
      <c r="N536" s="26" t="s">
        <v>84</v>
      </c>
      <c r="O536" s="26" t="s">
        <v>1483</v>
      </c>
      <c r="P536" s="26" t="s">
        <v>65</v>
      </c>
      <c r="Q536" s="26" t="s">
        <v>212</v>
      </c>
      <c r="R536" s="26" t="s">
        <v>403</v>
      </c>
      <c r="S536" s="26"/>
      <c r="T536" s="26" t="s">
        <v>802</v>
      </c>
    </row>
    <row r="537" spans="2:38" s="65" customFormat="1" x14ac:dyDescent="0.25">
      <c r="B537" s="55" t="s">
        <v>2820</v>
      </c>
      <c r="C537" s="59"/>
      <c r="D537" s="55"/>
      <c r="E537" s="55" t="s">
        <v>2821</v>
      </c>
      <c r="F537" s="60"/>
      <c r="G537" s="55" t="s">
        <v>2822</v>
      </c>
      <c r="H537" s="61">
        <v>20</v>
      </c>
      <c r="I537" s="62"/>
      <c r="J537" s="105">
        <v>3</v>
      </c>
      <c r="K537" s="12" t="s">
        <v>2823</v>
      </c>
      <c r="L537" s="145" t="s">
        <v>647</v>
      </c>
      <c r="M537" s="26" t="s">
        <v>2824</v>
      </c>
      <c r="N537" s="26" t="s">
        <v>2825</v>
      </c>
      <c r="O537" s="26"/>
      <c r="P537" s="26"/>
      <c r="Q537" s="26"/>
      <c r="R537" s="26"/>
      <c r="S537" s="26"/>
      <c r="T537" s="26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 spans="1:20" s="14" customFormat="1" x14ac:dyDescent="0.25">
      <c r="A538" s="40"/>
      <c r="B538" s="42" t="s">
        <v>2826</v>
      </c>
      <c r="C538" s="43">
        <v>8</v>
      </c>
      <c r="D538" s="42" t="s">
        <v>29</v>
      </c>
      <c r="E538" s="42" t="s">
        <v>2748</v>
      </c>
      <c r="F538" s="44"/>
      <c r="G538" s="42" t="s">
        <v>2827</v>
      </c>
      <c r="H538" s="45">
        <v>5</v>
      </c>
      <c r="I538" s="46"/>
      <c r="J538" s="47">
        <v>0</v>
      </c>
      <c r="K538" s="48" t="s">
        <v>2828</v>
      </c>
      <c r="L538" s="44" t="s">
        <v>1828</v>
      </c>
      <c r="M538" s="42"/>
      <c r="N538" s="42"/>
      <c r="O538" s="42"/>
      <c r="P538" s="42"/>
      <c r="Q538" s="42"/>
      <c r="R538" s="42"/>
      <c r="S538" s="42"/>
      <c r="T538" s="42"/>
    </row>
    <row r="539" spans="1:20" x14ac:dyDescent="0.25">
      <c r="A539" s="40"/>
      <c r="B539" s="42" t="s">
        <v>2829</v>
      </c>
      <c r="C539" s="43"/>
      <c r="D539" s="42" t="s">
        <v>29</v>
      </c>
      <c r="E539" s="42" t="s">
        <v>2748</v>
      </c>
      <c r="F539" s="44"/>
      <c r="G539" s="42" t="s">
        <v>2830</v>
      </c>
      <c r="H539" s="45">
        <v>5</v>
      </c>
      <c r="I539" s="46"/>
      <c r="J539" s="47">
        <v>0</v>
      </c>
      <c r="K539" s="48" t="s">
        <v>2831</v>
      </c>
      <c r="L539" s="44"/>
      <c r="M539" s="42"/>
      <c r="N539" s="42"/>
      <c r="O539" s="42"/>
      <c r="P539" s="42"/>
      <c r="Q539" s="42"/>
      <c r="R539" s="42"/>
      <c r="S539" s="42"/>
      <c r="T539" s="42"/>
    </row>
    <row r="540" spans="1:38" s="40" customFormat="1" x14ac:dyDescent="0.25">
      <c r="A540" s="40" t="s">
        <v>2832</v>
      </c>
      <c r="B540" s="42" t="s">
        <v>2833</v>
      </c>
      <c r="C540" s="43"/>
      <c r="D540" s="42" t="s">
        <v>29</v>
      </c>
      <c r="E540" s="42" t="s">
        <v>2748</v>
      </c>
      <c r="F540" s="44"/>
      <c r="G540" s="42" t="s">
        <v>2834</v>
      </c>
      <c r="H540" s="45">
        <v>4</v>
      </c>
      <c r="I540" s="46" t="s">
        <v>2835</v>
      </c>
      <c r="J540" s="47">
        <v>0</v>
      </c>
      <c r="K540" s="48" t="s">
        <v>679</v>
      </c>
      <c r="L540" s="181" t="s">
        <v>2836</v>
      </c>
      <c r="M540" s="42" t="s">
        <v>1070</v>
      </c>
      <c r="N540" s="42" t="s">
        <v>126</v>
      </c>
      <c r="O540" s="42" t="s">
        <v>286</v>
      </c>
      <c r="P540" s="42" t="s">
        <v>11</v>
      </c>
      <c r="Q540" s="42"/>
      <c r="R540" s="42"/>
      <c r="S540" s="42"/>
      <c r="T540" s="42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 spans="1:38" s="40" customFormat="1" x14ac:dyDescent="0.25">
      <c r="A541" s="40" t="s">
        <v>2837</v>
      </c>
      <c r="B541" s="42" t="s">
        <v>2838</v>
      </c>
      <c r="C541" s="43"/>
      <c r="D541" s="42" t="s">
        <v>29</v>
      </c>
      <c r="E541" s="42" t="s">
        <v>2748</v>
      </c>
      <c r="F541" s="44"/>
      <c r="G541" s="42" t="s">
        <v>2839</v>
      </c>
      <c r="H541" s="45">
        <v>4</v>
      </c>
      <c r="I541" s="46" t="s">
        <v>2840</v>
      </c>
      <c r="J541" s="47">
        <v>0</v>
      </c>
      <c r="K541" s="48" t="s">
        <v>1993</v>
      </c>
      <c r="L541" s="44" t="s">
        <v>2841</v>
      </c>
      <c r="M541" s="42" t="s">
        <v>71</v>
      </c>
      <c r="N541" s="42" t="s">
        <v>107</v>
      </c>
      <c r="O541" s="42" t="s">
        <v>2842</v>
      </c>
      <c r="P541" s="42" t="s">
        <v>738</v>
      </c>
      <c r="Q541" s="42" t="s">
        <v>940</v>
      </c>
      <c r="R541" s="42"/>
      <c r="S541" s="42"/>
      <c r="T541" s="42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 spans="2:38" s="40" customFormat="1" x14ac:dyDescent="0.25">
      <c r="B542" s="42" t="s">
        <v>2843</v>
      </c>
      <c r="C542" s="43"/>
      <c r="D542" s="42" t="s">
        <v>29</v>
      </c>
      <c r="E542" s="42" t="s">
        <v>2748</v>
      </c>
      <c r="F542" s="44"/>
      <c r="G542" s="42" t="s">
        <v>2844</v>
      </c>
      <c r="H542" s="45">
        <v>4</v>
      </c>
      <c r="I542" s="46" t="s">
        <v>2845</v>
      </c>
      <c r="J542" s="47">
        <v>0</v>
      </c>
      <c r="K542" s="48" t="s">
        <v>2846</v>
      </c>
      <c r="L542" s="181" t="s">
        <v>2847</v>
      </c>
      <c r="M542" s="42" t="s">
        <v>2848</v>
      </c>
      <c r="N542" s="42" t="s">
        <v>919</v>
      </c>
      <c r="O542" s="42" t="s">
        <v>231</v>
      </c>
      <c r="P542" s="42" t="s">
        <v>351</v>
      </c>
      <c r="Q542" s="42" t="s">
        <v>126</v>
      </c>
      <c r="R542" s="42" t="s">
        <v>2849</v>
      </c>
      <c r="S542" s="42"/>
      <c r="T542" s="42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 spans="1:38" s="16" customFormat="1" x14ac:dyDescent="0.25">
      <c r="A543" s="4" t="s">
        <v>2850</v>
      </c>
      <c r="B543" s="26" t="s">
        <v>2851</v>
      </c>
      <c r="C543" s="27">
        <v>4</v>
      </c>
      <c r="D543" s="26" t="s">
        <v>29</v>
      </c>
      <c r="E543" s="26" t="s">
        <v>2748</v>
      </c>
      <c r="F543" s="33"/>
      <c r="G543" s="55" t="s">
        <v>2852</v>
      </c>
      <c r="H543" s="31">
        <v>20</v>
      </c>
      <c r="I543" s="32"/>
      <c r="J543" s="11">
        <v>1</v>
      </c>
      <c r="K543" s="12" t="s">
        <v>412</v>
      </c>
      <c r="L543" s="33" t="s">
        <v>2853</v>
      </c>
      <c r="M543" s="26" t="s">
        <v>45</v>
      </c>
      <c r="N543" s="26" t="s">
        <v>1931</v>
      </c>
      <c r="O543" s="26" t="s">
        <v>218</v>
      </c>
      <c r="P543" s="26" t="s">
        <v>659</v>
      </c>
      <c r="Q543" s="26" t="s">
        <v>1483</v>
      </c>
      <c r="R543" s="26" t="s">
        <v>1207</v>
      </c>
      <c r="S543" s="26" t="s">
        <v>292</v>
      </c>
      <c r="T543" s="26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spans="1:20" s="14" customFormat="1" x14ac:dyDescent="0.25">
      <c r="A544" s="4" t="s">
        <v>2854</v>
      </c>
      <c r="B544" s="26" t="s">
        <v>2855</v>
      </c>
      <c r="C544" s="27">
        <v>7.6</v>
      </c>
      <c r="D544" s="26" t="s">
        <v>29</v>
      </c>
      <c r="E544" s="26" t="s">
        <v>2748</v>
      </c>
      <c r="F544" s="33"/>
      <c r="G544" s="55" t="s">
        <v>2856</v>
      </c>
      <c r="H544" s="31">
        <v>20</v>
      </c>
      <c r="I544" s="32"/>
      <c r="J544" s="11">
        <v>4</v>
      </c>
      <c r="K544" s="12" t="s">
        <v>59</v>
      </c>
      <c r="L544" s="33" t="s">
        <v>2853</v>
      </c>
      <c r="M544" s="26" t="s">
        <v>2857</v>
      </c>
      <c r="N544" s="26" t="s">
        <v>1483</v>
      </c>
      <c r="O544" s="26" t="s">
        <v>2858</v>
      </c>
      <c r="P544" s="26"/>
      <c r="Q544" s="26"/>
      <c r="R544" s="26"/>
      <c r="S544" s="26"/>
      <c r="T544" s="26"/>
    </row>
    <row r="545" spans="1:38" s="16" customFormat="1" x14ac:dyDescent="0.25">
      <c r="A545" t="s">
        <v>2859</v>
      </c>
      <c r="B545" s="26" t="s">
        <v>2860</v>
      </c>
      <c r="C545" s="35">
        <v>7.6</v>
      </c>
      <c r="D545" s="26" t="s">
        <v>29</v>
      </c>
      <c r="E545" s="26" t="s">
        <v>2748</v>
      </c>
      <c r="F545" s="33"/>
      <c r="G545" s="26" t="s">
        <v>2861</v>
      </c>
      <c r="H545" s="31">
        <v>10</v>
      </c>
      <c r="I545" s="32"/>
      <c r="J545" s="199">
        <v>1</v>
      </c>
      <c r="K545" s="12" t="s">
        <v>1938</v>
      </c>
      <c r="L545" s="33" t="s">
        <v>219</v>
      </c>
      <c r="M545" s="26" t="s">
        <v>465</v>
      </c>
      <c r="N545" s="26" t="s">
        <v>470</v>
      </c>
      <c r="O545" s="26"/>
      <c r="P545" s="26" t="s">
        <v>275</v>
      </c>
      <c r="Q545" s="26" t="s">
        <v>388</v>
      </c>
      <c r="R545" s="26" t="s">
        <v>388</v>
      </c>
      <c r="S545" s="26" t="s">
        <v>432</v>
      </c>
      <c r="T545" s="26" t="s">
        <v>46</v>
      </c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 spans="1:20" x14ac:dyDescent="0.25">
      <c r="A546" s="4" t="s">
        <v>2862</v>
      </c>
      <c r="B546" s="26" t="s">
        <v>2863</v>
      </c>
      <c r="C546" s="35">
        <v>7.9</v>
      </c>
      <c r="D546" s="26" t="s">
        <v>29</v>
      </c>
      <c r="E546" s="26" t="s">
        <v>2748</v>
      </c>
      <c r="F546" s="33"/>
      <c r="G546" s="26" t="s">
        <v>2864</v>
      </c>
      <c r="H546" s="31">
        <v>10</v>
      </c>
      <c r="I546" s="32"/>
      <c r="J546" s="199">
        <v>4</v>
      </c>
      <c r="K546" s="12" t="s">
        <v>899</v>
      </c>
      <c r="L546" s="33" t="s">
        <v>2865</v>
      </c>
      <c r="M546" s="26" t="s">
        <v>2866</v>
      </c>
      <c r="N546" s="26" t="s">
        <v>107</v>
      </c>
      <c r="O546" s="26" t="s">
        <v>1054</v>
      </c>
      <c r="P546" s="26" t="s">
        <v>538</v>
      </c>
      <c r="Q546" s="26" t="s">
        <v>1387</v>
      </c>
      <c r="R546" s="26" t="s">
        <v>159</v>
      </c>
      <c r="S546" s="26" t="s">
        <v>1875</v>
      </c>
      <c r="T546" s="26"/>
    </row>
    <row r="547" spans="1:20" x14ac:dyDescent="0.25">
      <c r="A547" t="s">
        <v>2867</v>
      </c>
      <c r="B547" s="6" t="s">
        <v>2868</v>
      </c>
      <c r="C547" s="7">
        <v>7.6</v>
      </c>
      <c r="D547" s="6" t="s">
        <v>29</v>
      </c>
      <c r="E547" s="6" t="s">
        <v>2748</v>
      </c>
      <c r="F547" s="8"/>
      <c r="G547" s="6" t="s">
        <v>2869</v>
      </c>
      <c r="H547" s="50">
        <v>20</v>
      </c>
      <c r="I547" s="10"/>
      <c r="J547" s="51">
        <v>1</v>
      </c>
      <c r="K547" s="52" t="s">
        <v>733</v>
      </c>
      <c r="L547" s="8" t="s">
        <v>1773</v>
      </c>
      <c r="M547" s="6" t="s">
        <v>413</v>
      </c>
      <c r="N547" s="6" t="s">
        <v>512</v>
      </c>
      <c r="O547" s="6" t="s">
        <v>1033</v>
      </c>
      <c r="P547" s="6"/>
      <c r="Q547" s="6" t="s">
        <v>1365</v>
      </c>
      <c r="R547" s="6" t="s">
        <v>2059</v>
      </c>
      <c r="S547" s="6" t="s">
        <v>839</v>
      </c>
      <c r="T547" s="6" t="s">
        <v>1536</v>
      </c>
    </row>
    <row r="548" spans="1:38" s="40" customFormat="1" x14ac:dyDescent="0.25">
      <c r="A548" s="40">
        <v>102030000</v>
      </c>
      <c r="B548" s="42" t="s">
        <v>2870</v>
      </c>
      <c r="C548" s="43">
        <v>8.1</v>
      </c>
      <c r="D548" s="42" t="s">
        <v>29</v>
      </c>
      <c r="E548" s="42" t="s">
        <v>2748</v>
      </c>
      <c r="F548" s="44"/>
      <c r="G548" s="42" t="s">
        <v>2871</v>
      </c>
      <c r="H548" s="45">
        <v>20</v>
      </c>
      <c r="I548" s="46"/>
      <c r="J548" s="47">
        <v>3</v>
      </c>
      <c r="K548" s="48" t="s">
        <v>2429</v>
      </c>
      <c r="L548" s="44" t="s">
        <v>2872</v>
      </c>
      <c r="M548" s="42" t="s">
        <v>106</v>
      </c>
      <c r="N548" s="42" t="s">
        <v>1185</v>
      </c>
      <c r="O548" s="42" t="s">
        <v>499</v>
      </c>
      <c r="P548" s="42" t="s">
        <v>215</v>
      </c>
      <c r="Q548" s="42" t="s">
        <v>1054</v>
      </c>
      <c r="R548" s="42" t="s">
        <v>2873</v>
      </c>
      <c r="S548" s="42" t="s">
        <v>119</v>
      </c>
      <c r="T548" s="42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 spans="1:38" s="40" customFormat="1" x14ac:dyDescent="0.25">
      <c r="A549" s="40">
        <v>102010000</v>
      </c>
      <c r="B549" s="42" t="s">
        <v>2874</v>
      </c>
      <c r="C549" s="43">
        <v>9.8</v>
      </c>
      <c r="D549" s="42" t="s">
        <v>29</v>
      </c>
      <c r="E549" s="42" t="s">
        <v>2748</v>
      </c>
      <c r="F549" s="44"/>
      <c r="G549" s="42" t="s">
        <v>2875</v>
      </c>
      <c r="H549" s="45">
        <v>20</v>
      </c>
      <c r="I549" s="46"/>
      <c r="J549" s="47">
        <v>2</v>
      </c>
      <c r="K549" s="48" t="s">
        <v>579</v>
      </c>
      <c r="L549" s="44" t="s">
        <v>580</v>
      </c>
      <c r="M549" s="42" t="s">
        <v>199</v>
      </c>
      <c r="N549" s="42" t="s">
        <v>912</v>
      </c>
      <c r="O549" s="42" t="s">
        <v>2876</v>
      </c>
      <c r="P549" s="42" t="s">
        <v>215</v>
      </c>
      <c r="Q549" s="42" t="s">
        <v>273</v>
      </c>
      <c r="R549" s="42" t="s">
        <v>1907</v>
      </c>
      <c r="S549" s="42"/>
      <c r="T549" s="42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 spans="1:20" s="14" customFormat="1" x14ac:dyDescent="0.25">
      <c r="A550" t="s">
        <v>2877</v>
      </c>
      <c r="B550" s="26" t="s">
        <v>2878</v>
      </c>
      <c r="C550" s="27"/>
      <c r="D550" s="26" t="s">
        <v>29</v>
      </c>
      <c r="E550" s="26" t="s">
        <v>2748</v>
      </c>
      <c r="F550" s="33"/>
      <c r="G550" s="26" t="s">
        <v>2879</v>
      </c>
      <c r="H550" s="31">
        <v>20</v>
      </c>
      <c r="I550" s="32"/>
      <c r="J550" s="11">
        <v>1</v>
      </c>
      <c r="K550" s="12" t="s">
        <v>2880</v>
      </c>
      <c r="L550" s="33" t="s">
        <v>2881</v>
      </c>
      <c r="M550" s="26" t="s">
        <v>2882</v>
      </c>
      <c r="N550" s="26" t="s">
        <v>910</v>
      </c>
      <c r="O550" s="26" t="s">
        <v>191</v>
      </c>
      <c r="P550" s="26" t="s">
        <v>539</v>
      </c>
      <c r="Q550" s="26" t="s">
        <v>806</v>
      </c>
      <c r="R550" s="26"/>
      <c r="S550" s="26"/>
      <c r="T550" s="26"/>
    </row>
    <row r="551" spans="1:20" x14ac:dyDescent="0.25">
      <c r="A551" t="s">
        <v>2883</v>
      </c>
      <c r="B551" s="26" t="s">
        <v>2884</v>
      </c>
      <c r="C551" s="27"/>
      <c r="D551" s="26" t="s">
        <v>29</v>
      </c>
      <c r="E551" s="26" t="s">
        <v>2748</v>
      </c>
      <c r="F551" s="33"/>
      <c r="G551" s="26" t="s">
        <v>2885</v>
      </c>
      <c r="H551" s="31">
        <v>20</v>
      </c>
      <c r="I551" s="32"/>
      <c r="J551" s="11">
        <v>2</v>
      </c>
      <c r="K551" s="12" t="s">
        <v>2880</v>
      </c>
      <c r="L551" s="33" t="s">
        <v>1178</v>
      </c>
      <c r="M551" s="26" t="s">
        <v>2886</v>
      </c>
      <c r="N551" s="26" t="s">
        <v>910</v>
      </c>
      <c r="O551" s="26" t="s">
        <v>2887</v>
      </c>
      <c r="P551" s="26" t="s">
        <v>191</v>
      </c>
      <c r="Q551" s="26" t="s">
        <v>537</v>
      </c>
      <c r="R551" s="26" t="s">
        <v>1002</v>
      </c>
      <c r="S551" s="26"/>
      <c r="T551" s="26"/>
    </row>
    <row r="552" spans="1:38" s="40" customFormat="1" x14ac:dyDescent="0.25">
      <c r="A552" t="s">
        <v>2888</v>
      </c>
      <c r="B552" s="26" t="s">
        <v>2889</v>
      </c>
      <c r="C552" s="35">
        <v>8</v>
      </c>
      <c r="D552" s="26" t="s">
        <v>29</v>
      </c>
      <c r="E552" s="26" t="s">
        <v>2748</v>
      </c>
      <c r="F552" s="33"/>
      <c r="G552" s="26" t="s">
        <v>2890</v>
      </c>
      <c r="H552" s="31">
        <v>20</v>
      </c>
      <c r="I552" s="32"/>
      <c r="J552" s="11">
        <v>0</v>
      </c>
      <c r="K552" s="12" t="s">
        <v>2891</v>
      </c>
      <c r="L552" s="33" t="s">
        <v>511</v>
      </c>
      <c r="M552" s="26" t="s">
        <v>1483</v>
      </c>
      <c r="N552" s="26" t="s">
        <v>667</v>
      </c>
      <c r="O552" s="26"/>
      <c r="P552" s="26" t="s">
        <v>1554</v>
      </c>
      <c r="Q552" s="26" t="s">
        <v>259</v>
      </c>
      <c r="R552" s="26" t="s">
        <v>2892</v>
      </c>
      <c r="S552" s="26" t="s">
        <v>428</v>
      </c>
      <c r="T552" s="26" t="s">
        <v>1003</v>
      </c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 spans="1:20" x14ac:dyDescent="0.25">
      <c r="A553" t="s">
        <v>2893</v>
      </c>
      <c r="B553" s="26" t="s">
        <v>2894</v>
      </c>
      <c r="C553" s="27">
        <v>7.2</v>
      </c>
      <c r="D553" s="26" t="s">
        <v>29</v>
      </c>
      <c r="E553" s="26" t="s">
        <v>2748</v>
      </c>
      <c r="F553" s="33"/>
      <c r="G553" s="26" t="s">
        <v>2895</v>
      </c>
      <c r="H553" s="31">
        <v>20</v>
      </c>
      <c r="I553" s="32"/>
      <c r="J553" s="37">
        <v>4</v>
      </c>
      <c r="K553" s="12" t="s">
        <v>2896</v>
      </c>
      <c r="L553" s="33" t="s">
        <v>2897</v>
      </c>
      <c r="M553" s="26" t="s">
        <v>2898</v>
      </c>
      <c r="N553" s="26" t="s">
        <v>705</v>
      </c>
      <c r="O553" s="26" t="s">
        <v>107</v>
      </c>
      <c r="P553" s="26" t="s">
        <v>2899</v>
      </c>
      <c r="Q553" s="26"/>
      <c r="R553" s="26"/>
      <c r="S553" s="26"/>
      <c r="T553" s="26"/>
    </row>
    <row r="554" spans="1:20" x14ac:dyDescent="0.25">
      <c r="A554" s="4" t="s">
        <v>2900</v>
      </c>
      <c r="B554" s="26" t="s">
        <v>2901</v>
      </c>
      <c r="C554" s="35">
        <v>7.3</v>
      </c>
      <c r="D554" s="26" t="s">
        <v>29</v>
      </c>
      <c r="E554" s="26" t="s">
        <v>2748</v>
      </c>
      <c r="F554" s="33" t="s">
        <v>1736</v>
      </c>
      <c r="G554" s="26" t="s">
        <v>2902</v>
      </c>
      <c r="H554" s="31">
        <v>20</v>
      </c>
      <c r="I554" s="32"/>
      <c r="J554" s="15">
        <v>0</v>
      </c>
      <c r="K554" s="12" t="s">
        <v>1319</v>
      </c>
      <c r="L554" s="33" t="s">
        <v>1296</v>
      </c>
      <c r="M554" s="26" t="s">
        <v>1040</v>
      </c>
      <c r="N554" s="26" t="s">
        <v>660</v>
      </c>
      <c r="O554" s="26" t="s">
        <v>213</v>
      </c>
      <c r="P554" s="26" t="s">
        <v>1386</v>
      </c>
      <c r="Q554" s="26" t="s">
        <v>1779</v>
      </c>
      <c r="R554" s="26" t="s">
        <v>2583</v>
      </c>
      <c r="S554" s="26"/>
      <c r="T554" s="28" t="s">
        <v>36</v>
      </c>
    </row>
    <row r="555" spans="1:38" s="16" customFormat="1" x14ac:dyDescent="0.25">
      <c r="A555" s="40"/>
      <c r="B555" s="42" t="s">
        <v>2903</v>
      </c>
      <c r="C555" s="43">
        <v>6</v>
      </c>
      <c r="D555" s="42" t="s">
        <v>29</v>
      </c>
      <c r="E555" s="42" t="s">
        <v>2748</v>
      </c>
      <c r="F555" s="44"/>
      <c r="G555" s="42" t="s">
        <v>2904</v>
      </c>
      <c r="H555" s="45">
        <v>6</v>
      </c>
      <c r="I555" s="46"/>
      <c r="J555" s="47">
        <v>0</v>
      </c>
      <c r="K555" s="48" t="s">
        <v>2905</v>
      </c>
      <c r="L555" s="44" t="s">
        <v>2906</v>
      </c>
      <c r="M555" s="42" t="s">
        <v>2907</v>
      </c>
      <c r="N555" s="42" t="s">
        <v>2908</v>
      </c>
      <c r="O555" s="42" t="s">
        <v>2909</v>
      </c>
      <c r="P555" s="42" t="s">
        <v>295</v>
      </c>
      <c r="Q555" s="42"/>
      <c r="R555" s="42"/>
      <c r="S555" s="42"/>
      <c r="T555" s="42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spans="1:38" s="16" customFormat="1" x14ac:dyDescent="0.25">
      <c r="A556" s="40"/>
      <c r="B556" s="42" t="s">
        <v>2910</v>
      </c>
      <c r="C556" s="43"/>
      <c r="D556" s="42" t="s">
        <v>29</v>
      </c>
      <c r="E556" s="42" t="s">
        <v>2748</v>
      </c>
      <c r="F556" s="44"/>
      <c r="G556" s="42" t="s">
        <v>2911</v>
      </c>
      <c r="H556" s="45">
        <v>10</v>
      </c>
      <c r="I556" s="46"/>
      <c r="J556" s="47">
        <v>0</v>
      </c>
      <c r="K556" s="48" t="s">
        <v>2912</v>
      </c>
      <c r="L556" s="44" t="s">
        <v>1212</v>
      </c>
      <c r="M556" s="42" t="s">
        <v>704</v>
      </c>
      <c r="N556" s="42" t="s">
        <v>2226</v>
      </c>
      <c r="O556" s="42" t="s">
        <v>910</v>
      </c>
      <c r="P556" s="42" t="s">
        <v>2497</v>
      </c>
      <c r="Q556" s="42"/>
      <c r="R556" s="42"/>
      <c r="S556" s="42"/>
      <c r="T556" s="42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 spans="1:38" s="16" customFormat="1" x14ac:dyDescent="0.25">
      <c r="A557" t="s">
        <v>2393</v>
      </c>
      <c r="B557" s="26" t="s">
        <v>2913</v>
      </c>
      <c r="C557" s="27"/>
      <c r="D557" s="26" t="s">
        <v>29</v>
      </c>
      <c r="E557" s="26" t="s">
        <v>2748</v>
      </c>
      <c r="F557" s="33"/>
      <c r="G557" s="26" t="s">
        <v>2914</v>
      </c>
      <c r="H557" s="31">
        <v>10</v>
      </c>
      <c r="I557" s="32"/>
      <c r="J557" s="11">
        <v>2</v>
      </c>
      <c r="K557" s="12" t="s">
        <v>2915</v>
      </c>
      <c r="L557" s="33" t="s">
        <v>139</v>
      </c>
      <c r="M557" s="26" t="s">
        <v>703</v>
      </c>
      <c r="N557" s="26" t="s">
        <v>2916</v>
      </c>
      <c r="O557" s="26"/>
      <c r="P557" s="26"/>
      <c r="Q557" s="26"/>
      <c r="R557" s="26"/>
      <c r="S557" s="26"/>
      <c r="T557" s="26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spans="2:20" x14ac:dyDescent="0.25">
      <c r="B558" s="26" t="s">
        <v>2917</v>
      </c>
      <c r="C558" s="27"/>
      <c r="D558" s="26" t="s">
        <v>29</v>
      </c>
      <c r="E558" s="26" t="s">
        <v>2748</v>
      </c>
      <c r="F558" s="33"/>
      <c r="G558" s="26" t="s">
        <v>2918</v>
      </c>
      <c r="H558" s="31">
        <v>6</v>
      </c>
      <c r="I558" s="32"/>
      <c r="J558" s="96">
        <v>0</v>
      </c>
      <c r="K558" s="12" t="s">
        <v>2919</v>
      </c>
      <c r="L558" s="33" t="s">
        <v>737</v>
      </c>
      <c r="M558" s="26" t="s">
        <v>537</v>
      </c>
      <c r="N558" s="26" t="s">
        <v>952</v>
      </c>
      <c r="O558" s="26" t="s">
        <v>2920</v>
      </c>
      <c r="P558" s="26" t="s">
        <v>2921</v>
      </c>
      <c r="Q558" s="26"/>
      <c r="R558" s="26"/>
      <c r="S558" s="26"/>
      <c r="T558" s="26"/>
    </row>
    <row r="559" spans="2:20" x14ac:dyDescent="0.25">
      <c r="B559" s="26" t="s">
        <v>2922</v>
      </c>
      <c r="C559" s="27"/>
      <c r="D559" s="26" t="s">
        <v>29</v>
      </c>
      <c r="E559" s="26" t="s">
        <v>2748</v>
      </c>
      <c r="F559" s="33"/>
      <c r="G559" s="26" t="s">
        <v>2923</v>
      </c>
      <c r="H559" s="31">
        <v>6</v>
      </c>
      <c r="I559" s="23"/>
      <c r="J559" s="15">
        <v>0</v>
      </c>
      <c r="K559" s="12" t="s">
        <v>2924</v>
      </c>
      <c r="L559" s="161"/>
      <c r="M559" s="6"/>
      <c r="N559" s="6"/>
      <c r="O559" s="6"/>
      <c r="P559" s="6"/>
      <c r="Q559" s="6"/>
      <c r="R559" s="6"/>
      <c r="S559" s="6"/>
      <c r="T559" s="6"/>
    </row>
    <row r="560" spans="1:20" x14ac:dyDescent="0.25">
      <c r="A560" t="s">
        <v>2925</v>
      </c>
      <c r="B560" s="26" t="s">
        <v>2926</v>
      </c>
      <c r="C560" s="27"/>
      <c r="D560" s="26" t="s">
        <v>29</v>
      </c>
      <c r="E560" s="26" t="s">
        <v>2748</v>
      </c>
      <c r="F560" s="33"/>
      <c r="G560" s="26" t="s">
        <v>2927</v>
      </c>
      <c r="H560" s="31">
        <v>20</v>
      </c>
      <c r="I560" s="32"/>
      <c r="J560" s="11">
        <v>2</v>
      </c>
      <c r="K560" s="12" t="s">
        <v>2928</v>
      </c>
      <c r="L560" s="33" t="s">
        <v>900</v>
      </c>
      <c r="M560" s="26" t="s">
        <v>1610</v>
      </c>
      <c r="N560" s="26" t="s">
        <v>2929</v>
      </c>
      <c r="O560" s="26" t="s">
        <v>499</v>
      </c>
      <c r="P560" s="26" t="s">
        <v>2930</v>
      </c>
      <c r="Q560" s="26" t="s">
        <v>26</v>
      </c>
      <c r="R560" s="26" t="s">
        <v>36</v>
      </c>
      <c r="S560" s="26"/>
      <c r="T560" s="26"/>
    </row>
    <row r="561" spans="1:20" x14ac:dyDescent="0.25">
      <c r="A561" t="s">
        <v>2931</v>
      </c>
      <c r="B561" s="55" t="s">
        <v>2932</v>
      </c>
      <c r="C561" s="59"/>
      <c r="D561" s="55" t="s">
        <v>5</v>
      </c>
      <c r="E561" s="55" t="s">
        <v>2933</v>
      </c>
      <c r="F561" s="60"/>
      <c r="G561" s="55" t="s">
        <v>2934</v>
      </c>
      <c r="H561" s="61">
        <v>20</v>
      </c>
      <c r="I561" s="62" t="s">
        <v>559</v>
      </c>
      <c r="J561" s="105">
        <v>2</v>
      </c>
      <c r="K561" s="12" t="s">
        <v>2935</v>
      </c>
      <c r="L561" s="149" t="s">
        <v>1717</v>
      </c>
      <c r="M561" s="26" t="s">
        <v>200</v>
      </c>
      <c r="N561" s="26" t="s">
        <v>1336</v>
      </c>
      <c r="O561" s="26" t="s">
        <v>2198</v>
      </c>
      <c r="P561" s="26" t="s">
        <v>1261</v>
      </c>
      <c r="Q561" s="26" t="s">
        <v>1002</v>
      </c>
      <c r="R561" s="26" t="s">
        <v>2020</v>
      </c>
      <c r="S561" s="26"/>
      <c r="T561" s="26"/>
    </row>
    <row r="562" spans="1:20" x14ac:dyDescent="0.25">
      <c r="A562" t="s">
        <v>2936</v>
      </c>
      <c r="B562" s="101" t="s">
        <v>2937</v>
      </c>
      <c r="C562" s="166">
        <v>6.7</v>
      </c>
      <c r="D562" s="101" t="s">
        <v>5</v>
      </c>
      <c r="E562" s="101" t="s">
        <v>2933</v>
      </c>
      <c r="F562" s="167"/>
      <c r="G562" s="101" t="s">
        <v>2938</v>
      </c>
      <c r="H562" s="168">
        <v>20</v>
      </c>
      <c r="I562" s="169" t="s">
        <v>559</v>
      </c>
      <c r="J562" s="170">
        <v>2</v>
      </c>
      <c r="K562" s="52" t="s">
        <v>1053</v>
      </c>
      <c r="L562" s="157" t="s">
        <v>1387</v>
      </c>
      <c r="M562" s="6" t="s">
        <v>659</v>
      </c>
      <c r="N562" s="6" t="s">
        <v>652</v>
      </c>
      <c r="O562" s="6"/>
      <c r="P562" s="6" t="s">
        <v>986</v>
      </c>
      <c r="Q562" s="6" t="s">
        <v>737</v>
      </c>
      <c r="R562" s="6" t="s">
        <v>1054</v>
      </c>
      <c r="S562" s="6" t="s">
        <v>501</v>
      </c>
      <c r="T562" s="6" t="s">
        <v>2729</v>
      </c>
    </row>
    <row r="563" spans="1:20" s="14" customFormat="1" x14ac:dyDescent="0.25">
      <c r="A563" s="4" t="s">
        <v>2939</v>
      </c>
      <c r="B563" s="55" t="s">
        <v>2940</v>
      </c>
      <c r="C563" s="59">
        <v>5.8</v>
      </c>
      <c r="D563" s="55" t="s">
        <v>5</v>
      </c>
      <c r="E563" s="55" t="s">
        <v>2933</v>
      </c>
      <c r="F563" s="60"/>
      <c r="G563" s="55" t="s">
        <v>2941</v>
      </c>
      <c r="H563" s="61">
        <v>20</v>
      </c>
      <c r="I563" s="62" t="s">
        <v>559</v>
      </c>
      <c r="J563" s="105">
        <v>3</v>
      </c>
      <c r="K563" s="12">
        <v>39331</v>
      </c>
      <c r="L563" s="149" t="s">
        <v>806</v>
      </c>
      <c r="M563" s="26" t="s">
        <v>473</v>
      </c>
      <c r="N563" s="26" t="s">
        <v>2327</v>
      </c>
      <c r="O563" s="26" t="s">
        <v>603</v>
      </c>
      <c r="P563" s="26" t="s">
        <v>234</v>
      </c>
      <c r="Q563" s="26" t="s">
        <v>805</v>
      </c>
      <c r="R563" s="26" t="s">
        <v>2942</v>
      </c>
      <c r="S563" s="26" t="s">
        <v>642</v>
      </c>
      <c r="T563" s="26" t="s">
        <v>642</v>
      </c>
    </row>
    <row r="564" spans="1:20" x14ac:dyDescent="0.25">
      <c r="A564" t="s">
        <v>2943</v>
      </c>
      <c r="B564" s="55" t="s">
        <v>2944</v>
      </c>
      <c r="C564" s="59">
        <v>6.7</v>
      </c>
      <c r="D564" s="55" t="s">
        <v>5</v>
      </c>
      <c r="E564" s="55" t="s">
        <v>2933</v>
      </c>
      <c r="F564" s="60"/>
      <c r="G564" s="55" t="s">
        <v>2945</v>
      </c>
      <c r="H564" s="61">
        <v>20</v>
      </c>
      <c r="I564" s="62" t="s">
        <v>559</v>
      </c>
      <c r="J564" s="105">
        <v>3</v>
      </c>
      <c r="K564" s="12" t="s">
        <v>560</v>
      </c>
      <c r="L564" s="145"/>
      <c r="M564" s="26" t="s">
        <v>1261</v>
      </c>
      <c r="N564" s="26" t="s">
        <v>118</v>
      </c>
      <c r="O564" s="26" t="s">
        <v>2267</v>
      </c>
      <c r="P564" s="26" t="s">
        <v>484</v>
      </c>
      <c r="Q564" s="26" t="s">
        <v>642</v>
      </c>
      <c r="R564" s="26" t="s">
        <v>370</v>
      </c>
      <c r="S564" s="26" t="s">
        <v>612</v>
      </c>
      <c r="T564" s="26" t="s">
        <v>473</v>
      </c>
    </row>
    <row r="565" spans="1:20" x14ac:dyDescent="0.25">
      <c r="A565" t="s">
        <v>2393</v>
      </c>
      <c r="B565" s="101" t="s">
        <v>2946</v>
      </c>
      <c r="C565" s="166">
        <v>5.3</v>
      </c>
      <c r="D565" s="101" t="s">
        <v>5</v>
      </c>
      <c r="E565" s="101" t="s">
        <v>2947</v>
      </c>
      <c r="F565" s="167"/>
      <c r="G565" s="101" t="s">
        <v>2948</v>
      </c>
      <c r="H565" s="200">
        <v>20</v>
      </c>
      <c r="I565" s="169"/>
      <c r="J565" s="170">
        <v>4</v>
      </c>
      <c r="K565" s="52" t="s">
        <v>1220</v>
      </c>
      <c r="L565" s="8" t="s">
        <v>785</v>
      </c>
      <c r="M565" s="6" t="s">
        <v>453</v>
      </c>
      <c r="N565" s="6" t="s">
        <v>436</v>
      </c>
      <c r="O565" s="6" t="s">
        <v>565</v>
      </c>
      <c r="P565" s="6" t="s">
        <v>2534</v>
      </c>
      <c r="Q565" s="6" t="s">
        <v>258</v>
      </c>
      <c r="R565" s="6"/>
      <c r="S565" s="6" t="s">
        <v>293</v>
      </c>
      <c r="T565" s="6" t="s">
        <v>650</v>
      </c>
    </row>
    <row r="566" spans="1:38" s="40" customFormat="1" x14ac:dyDescent="0.25">
      <c r="A566" t="s">
        <v>2949</v>
      </c>
      <c r="B566" s="55" t="s">
        <v>2950</v>
      </c>
      <c r="C566" s="59">
        <v>6.7</v>
      </c>
      <c r="D566" s="55" t="s">
        <v>29</v>
      </c>
      <c r="E566" s="55" t="s">
        <v>2947</v>
      </c>
      <c r="F566" s="60"/>
      <c r="G566" s="55" t="s">
        <v>2951</v>
      </c>
      <c r="H566" s="201">
        <v>20</v>
      </c>
      <c r="I566" s="62"/>
      <c r="J566" s="105">
        <v>5</v>
      </c>
      <c r="K566" s="12" t="s">
        <v>2952</v>
      </c>
      <c r="L566" s="33" t="s">
        <v>234</v>
      </c>
      <c r="M566" s="26" t="s">
        <v>1015</v>
      </c>
      <c r="N566" s="26" t="s">
        <v>286</v>
      </c>
      <c r="O566" s="26"/>
      <c r="P566" s="26" t="s">
        <v>110</v>
      </c>
      <c r="Q566" s="26" t="s">
        <v>935</v>
      </c>
      <c r="R566" s="26" t="s">
        <v>958</v>
      </c>
      <c r="S566" s="26" t="s">
        <v>102</v>
      </c>
      <c r="T566" s="26" t="s">
        <v>85</v>
      </c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 spans="1:20" x14ac:dyDescent="0.25">
      <c r="A567" s="16"/>
      <c r="B567" s="99" t="s">
        <v>2953</v>
      </c>
      <c r="C567" s="184">
        <v>6.9</v>
      </c>
      <c r="D567" s="99" t="s">
        <v>5</v>
      </c>
      <c r="E567" s="99" t="s">
        <v>2947</v>
      </c>
      <c r="F567" s="185"/>
      <c r="G567" s="99" t="s">
        <v>2954</v>
      </c>
      <c r="H567" s="202">
        <v>25</v>
      </c>
      <c r="I567" s="173"/>
      <c r="J567" s="63">
        <v>0</v>
      </c>
      <c r="K567" s="24" t="s">
        <v>2955</v>
      </c>
      <c r="L567" s="25" t="s">
        <v>1512</v>
      </c>
      <c r="M567" s="17" t="s">
        <v>525</v>
      </c>
      <c r="N567" s="17" t="s">
        <v>2956</v>
      </c>
      <c r="O567" s="17" t="s">
        <v>87</v>
      </c>
      <c r="P567" s="17" t="s">
        <v>45</v>
      </c>
      <c r="Q567" s="17"/>
      <c r="R567" s="17"/>
      <c r="S567" s="17"/>
      <c r="T567" s="17"/>
    </row>
    <row r="568" spans="1:20" x14ac:dyDescent="0.25">
      <c r="A568" t="s">
        <v>2957</v>
      </c>
      <c r="B568" s="55" t="s">
        <v>2958</v>
      </c>
      <c r="C568" s="59"/>
      <c r="D568" s="55" t="s">
        <v>5</v>
      </c>
      <c r="E568" s="55" t="s">
        <v>2947</v>
      </c>
      <c r="F568" s="60"/>
      <c r="G568" s="55" t="s">
        <v>2959</v>
      </c>
      <c r="H568" s="201">
        <v>25</v>
      </c>
      <c r="I568" s="173"/>
      <c r="J568" s="63">
        <v>6</v>
      </c>
      <c r="K568" s="12" t="s">
        <v>2960</v>
      </c>
      <c r="L568" s="33" t="s">
        <v>2961</v>
      </c>
      <c r="M568" s="26" t="s">
        <v>174</v>
      </c>
      <c r="N568" s="26" t="s">
        <v>286</v>
      </c>
      <c r="O568" s="26"/>
      <c r="P568" s="26"/>
      <c r="Q568" s="26"/>
      <c r="R568" s="26"/>
      <c r="S568" s="26"/>
      <c r="T568" s="26"/>
    </row>
    <row r="569" spans="2:20" x14ac:dyDescent="0.25">
      <c r="B569" s="55" t="s">
        <v>2962</v>
      </c>
      <c r="C569" s="59"/>
      <c r="D569" s="55" t="s">
        <v>5</v>
      </c>
      <c r="E569" s="55" t="s">
        <v>2947</v>
      </c>
      <c r="F569" s="60"/>
      <c r="G569" s="55" t="s">
        <v>2963</v>
      </c>
      <c r="H569" s="201">
        <v>50</v>
      </c>
      <c r="I569" s="173"/>
      <c r="J569" s="63">
        <v>0</v>
      </c>
      <c r="K569" s="12" t="s">
        <v>2964</v>
      </c>
      <c r="L569" s="33"/>
      <c r="M569" s="6"/>
      <c r="N569" s="6"/>
      <c r="O569" s="6"/>
      <c r="P569" s="26"/>
      <c r="Q569" s="6"/>
      <c r="R569" s="6"/>
      <c r="S569" s="6"/>
      <c r="T569" s="6"/>
    </row>
    <row r="570" spans="1:20" x14ac:dyDescent="0.25">
      <c r="A570" t="s">
        <v>2965</v>
      </c>
      <c r="B570" s="55" t="s">
        <v>2966</v>
      </c>
      <c r="C570" s="59"/>
      <c r="D570" s="55" t="s">
        <v>5</v>
      </c>
      <c r="E570" s="55" t="s">
        <v>2947</v>
      </c>
      <c r="F570" s="60"/>
      <c r="G570" s="55" t="s">
        <v>2967</v>
      </c>
      <c r="H570" s="201">
        <v>50</v>
      </c>
      <c r="I570" s="62" t="s">
        <v>2968</v>
      </c>
      <c r="J570" s="105">
        <v>2</v>
      </c>
      <c r="K570" s="12" t="s">
        <v>2969</v>
      </c>
      <c r="L570" s="33" t="s">
        <v>2970</v>
      </c>
      <c r="M570" s="26" t="s">
        <v>2971</v>
      </c>
      <c r="N570" s="26" t="s">
        <v>231</v>
      </c>
      <c r="O570" s="26"/>
      <c r="P570" s="26"/>
      <c r="Q570" s="26"/>
      <c r="R570" s="26"/>
      <c r="S570" s="26"/>
      <c r="T570" s="26"/>
    </row>
    <row r="571" spans="1:20" s="14" customFormat="1" x14ac:dyDescent="0.25">
      <c r="A571" s="4" t="s">
        <v>2972</v>
      </c>
      <c r="B571" s="26" t="s">
        <v>2973</v>
      </c>
      <c r="C571" s="35">
        <v>2</v>
      </c>
      <c r="D571" s="55" t="s">
        <v>29</v>
      </c>
      <c r="E571" s="26" t="s">
        <v>2974</v>
      </c>
      <c r="F571" s="33"/>
      <c r="G571" s="26" t="s">
        <v>2975</v>
      </c>
      <c r="H571" s="56">
        <v>10</v>
      </c>
      <c r="I571" s="32" t="s">
        <v>2976</v>
      </c>
      <c r="J571" s="11">
        <v>5</v>
      </c>
      <c r="K571" s="12" t="s">
        <v>2977</v>
      </c>
      <c r="L571" s="33" t="s">
        <v>589</v>
      </c>
      <c r="M571" s="26" t="s">
        <v>131</v>
      </c>
      <c r="N571" s="26" t="s">
        <v>266</v>
      </c>
      <c r="O571" s="26" t="s">
        <v>224</v>
      </c>
      <c r="P571" s="26" t="s">
        <v>282</v>
      </c>
      <c r="Q571" s="26"/>
      <c r="R571" s="26"/>
      <c r="S571" s="26"/>
      <c r="T571" s="26"/>
    </row>
    <row r="572" spans="1:38" s="16" customFormat="1" x14ac:dyDescent="0.25">
      <c r="A572" s="4" t="s">
        <v>2978</v>
      </c>
      <c r="B572" s="55" t="s">
        <v>2979</v>
      </c>
      <c r="C572" s="59">
        <v>5</v>
      </c>
      <c r="D572" s="55" t="s">
        <v>29</v>
      </c>
      <c r="E572" s="203" t="s">
        <v>2974</v>
      </c>
      <c r="F572" s="60"/>
      <c r="G572" s="55" t="s">
        <v>2980</v>
      </c>
      <c r="H572" s="201">
        <v>5</v>
      </c>
      <c r="I572" s="32" t="s">
        <v>2976</v>
      </c>
      <c r="J572" s="105">
        <v>30</v>
      </c>
      <c r="K572" s="12" t="s">
        <v>1746</v>
      </c>
      <c r="L572" s="33" t="s">
        <v>465</v>
      </c>
      <c r="M572" s="26"/>
      <c r="N572" s="26" t="s">
        <v>66</v>
      </c>
      <c r="O572" s="204" t="s">
        <v>1296</v>
      </c>
      <c r="P572" s="26" t="s">
        <v>11</v>
      </c>
      <c r="Q572" s="26" t="s">
        <v>1385</v>
      </c>
      <c r="R572" s="26" t="s">
        <v>928</v>
      </c>
      <c r="S572" s="26" t="s">
        <v>600</v>
      </c>
      <c r="T572" s="26" t="s">
        <v>895</v>
      </c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 spans="1:20" x14ac:dyDescent="0.25">
      <c r="A573" t="s">
        <v>2981</v>
      </c>
      <c r="B573" s="55" t="s">
        <v>2982</v>
      </c>
      <c r="C573" s="183">
        <v>4.5</v>
      </c>
      <c r="D573" s="55" t="s">
        <v>29</v>
      </c>
      <c r="E573" s="203" t="s">
        <v>2974</v>
      </c>
      <c r="F573" s="60"/>
      <c r="G573" s="55" t="s">
        <v>2983</v>
      </c>
      <c r="H573" s="201">
        <v>5</v>
      </c>
      <c r="I573" s="32" t="s">
        <v>2976</v>
      </c>
      <c r="J573" s="105">
        <v>14</v>
      </c>
      <c r="K573" s="12" t="s">
        <v>2984</v>
      </c>
      <c r="L573" s="33"/>
      <c r="M573" s="26" t="s">
        <v>283</v>
      </c>
      <c r="N573" s="26" t="s">
        <v>361</v>
      </c>
      <c r="O573" s="26" t="s">
        <v>346</v>
      </c>
      <c r="P573" s="26" t="s">
        <v>362</v>
      </c>
      <c r="Q573" s="28" t="s">
        <v>292</v>
      </c>
      <c r="R573" s="26" t="s">
        <v>465</v>
      </c>
      <c r="S573" s="26" t="s">
        <v>404</v>
      </c>
      <c r="T573" s="205" t="s">
        <v>426</v>
      </c>
    </row>
    <row r="574" spans="1:20" x14ac:dyDescent="0.25">
      <c r="A574" s="4" t="s">
        <v>2985</v>
      </c>
      <c r="B574" s="55" t="s">
        <v>2986</v>
      </c>
      <c r="C574" s="183">
        <v>5</v>
      </c>
      <c r="D574" s="55" t="s">
        <v>557</v>
      </c>
      <c r="E574" s="203" t="s">
        <v>2974</v>
      </c>
      <c r="F574" s="60"/>
      <c r="G574" s="55" t="s">
        <v>2987</v>
      </c>
      <c r="H574" s="201">
        <v>5</v>
      </c>
      <c r="I574" s="32" t="s">
        <v>2976</v>
      </c>
      <c r="J574" s="105">
        <v>2</v>
      </c>
      <c r="K574" s="12" t="s">
        <v>2988</v>
      </c>
      <c r="L574" s="33" t="s">
        <v>2989</v>
      </c>
      <c r="M574" s="26" t="s">
        <v>2990</v>
      </c>
      <c r="N574" s="26" t="s">
        <v>806</v>
      </c>
      <c r="O574" s="26" t="s">
        <v>48</v>
      </c>
      <c r="P574" s="26" t="s">
        <v>219</v>
      </c>
      <c r="Q574" s="26" t="s">
        <v>600</v>
      </c>
      <c r="R574" s="26" t="s">
        <v>465</v>
      </c>
      <c r="S574" s="26"/>
      <c r="T574" s="26" t="s">
        <v>627</v>
      </c>
    </row>
    <row r="575" spans="2:20" x14ac:dyDescent="0.25">
      <c r="B575" s="55" t="s">
        <v>2991</v>
      </c>
      <c r="C575" s="59"/>
      <c r="D575" s="55" t="s">
        <v>29</v>
      </c>
      <c r="E575" s="55" t="s">
        <v>2992</v>
      </c>
      <c r="F575" s="60"/>
      <c r="G575" s="55" t="s">
        <v>2993</v>
      </c>
      <c r="H575" s="201">
        <v>20</v>
      </c>
      <c r="I575" s="173"/>
      <c r="J575" s="63">
        <v>0</v>
      </c>
      <c r="K575" s="12" t="s">
        <v>2994</v>
      </c>
      <c r="L575" s="33" t="s">
        <v>1607</v>
      </c>
      <c r="M575" s="26" t="s">
        <v>71</v>
      </c>
      <c r="N575" s="26"/>
      <c r="O575" s="26"/>
      <c r="P575" s="26"/>
      <c r="Q575" s="26"/>
      <c r="R575" s="26"/>
      <c r="S575" s="26"/>
      <c r="T575" s="26"/>
    </row>
    <row r="576" spans="2:20" x14ac:dyDescent="0.25">
      <c r="B576" s="42"/>
      <c r="C576" s="43"/>
      <c r="D576" s="124"/>
      <c r="E576" s="106" t="s">
        <v>2995</v>
      </c>
      <c r="F576" s="87"/>
      <c r="G576" s="42" t="s">
        <v>2996</v>
      </c>
      <c r="H576" s="45">
        <v>18</v>
      </c>
      <c r="I576" s="46"/>
      <c r="J576" s="47">
        <v>0</v>
      </c>
      <c r="K576" s="48" t="s">
        <v>2997</v>
      </c>
      <c r="L576" s="44" t="s">
        <v>53</v>
      </c>
      <c r="M576" s="42"/>
      <c r="N576" s="42"/>
      <c r="O576" s="42"/>
      <c r="P576" s="42"/>
      <c r="Q576" s="42"/>
      <c r="R576" s="42"/>
      <c r="S576" s="42"/>
      <c r="T576" s="42"/>
    </row>
    <row r="577" spans="1:20" x14ac:dyDescent="0.25">
      <c r="A577" s="4"/>
      <c r="B577" s="55" t="s">
        <v>2998</v>
      </c>
      <c r="C577" s="59"/>
      <c r="D577" s="55" t="s">
        <v>29</v>
      </c>
      <c r="E577" s="55" t="s">
        <v>2999</v>
      </c>
      <c r="F577" s="60"/>
      <c r="G577" s="55" t="s">
        <v>3000</v>
      </c>
      <c r="H577" s="201">
        <v>25</v>
      </c>
      <c r="I577" s="62"/>
      <c r="J577" s="63">
        <v>0</v>
      </c>
      <c r="K577" s="12" t="s">
        <v>3001</v>
      </c>
      <c r="L577" s="206" t="s">
        <v>3002</v>
      </c>
      <c r="M577" s="26" t="s">
        <v>22</v>
      </c>
      <c r="N577" s="26" t="s">
        <v>3003</v>
      </c>
      <c r="O577" s="26" t="s">
        <v>971</v>
      </c>
      <c r="P577" s="26"/>
      <c r="Q577" s="26"/>
      <c r="R577" s="26"/>
      <c r="S577" s="26"/>
      <c r="T577" s="26"/>
    </row>
    <row r="578" spans="2:20" s="14" customFormat="1" x14ac:dyDescent="0.25">
      <c r="B578" s="26" t="s">
        <v>3004</v>
      </c>
      <c r="C578" s="27"/>
      <c r="D578" s="55" t="s">
        <v>29</v>
      </c>
      <c r="E578" s="26" t="s">
        <v>3005</v>
      </c>
      <c r="F578" s="33"/>
      <c r="G578" s="26" t="s">
        <v>3006</v>
      </c>
      <c r="H578" s="56">
        <v>10</v>
      </c>
      <c r="I578" s="32"/>
      <c r="J578" s="11">
        <v>4</v>
      </c>
      <c r="K578" s="12"/>
      <c r="L578" s="33" t="s">
        <v>3007</v>
      </c>
      <c r="M578" s="26" t="s">
        <v>3008</v>
      </c>
      <c r="N578" s="26" t="s">
        <v>3009</v>
      </c>
      <c r="O578" s="26" t="s">
        <v>3010</v>
      </c>
      <c r="P578" s="26" t="s">
        <v>3011</v>
      </c>
      <c r="Q578" s="26"/>
      <c r="R578" s="26" t="s">
        <v>3012</v>
      </c>
      <c r="S578" s="26" t="s">
        <v>3013</v>
      </c>
      <c r="T578" s="26" t="s">
        <v>3014</v>
      </c>
    </row>
    <row r="579" spans="1:20" x14ac:dyDescent="0.25">
      <c r="A579" s="40"/>
      <c r="B579" s="42" t="s">
        <v>3015</v>
      </c>
      <c r="C579" s="43"/>
      <c r="D579" s="64" t="s">
        <v>29</v>
      </c>
      <c r="E579" s="42" t="s">
        <v>3005</v>
      </c>
      <c r="F579" s="44"/>
      <c r="G579" s="42" t="s">
        <v>3006</v>
      </c>
      <c r="H579" s="57">
        <v>15</v>
      </c>
      <c r="I579" s="46"/>
      <c r="J579" s="47">
        <v>0</v>
      </c>
      <c r="K579" s="48"/>
      <c r="L579" s="44"/>
      <c r="M579" s="42"/>
      <c r="N579" s="42"/>
      <c r="O579" s="42"/>
      <c r="P579" s="42"/>
      <c r="Q579" s="42"/>
      <c r="R579" s="42"/>
      <c r="S579" s="42"/>
      <c r="T579" s="42"/>
    </row>
    <row r="580" spans="1:20" x14ac:dyDescent="0.25">
      <c r="A580" s="40"/>
      <c r="B580" s="85" t="s">
        <v>3016</v>
      </c>
      <c r="C580" s="86"/>
      <c r="D580" s="64" t="s">
        <v>29</v>
      </c>
      <c r="E580" s="42" t="s">
        <v>3005</v>
      </c>
      <c r="F580" s="44"/>
      <c r="G580" s="85" t="s">
        <v>3006</v>
      </c>
      <c r="H580" s="207">
        <v>20</v>
      </c>
      <c r="I580" s="89" t="s">
        <v>3017</v>
      </c>
      <c r="J580" s="90">
        <v>0</v>
      </c>
      <c r="K580" s="98"/>
      <c r="L580" s="87"/>
      <c r="M580" s="85"/>
      <c r="N580" s="85"/>
      <c r="O580" s="85"/>
      <c r="P580" s="85"/>
      <c r="Q580" s="85"/>
      <c r="R580" s="85"/>
      <c r="S580" s="85"/>
      <c r="T580" s="85"/>
    </row>
  </sheetData>
  <autoFilter ref="B2:U580"/>
  <pageMargins left="0.7" right="0.7" top="0.75" bottom="0.75" header="0.3" footer="0.3"/>
  <pageSetup paperSize="122" orientation="portrait" horizontalDpi="300" verticalDpi="300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1"/>
  <sheetViews>
    <sheetView workbookViewId="0" zoomScale="100" zoomScaleNormal="100">
      <selection activeCell="M9" sqref="M9"/>
    </sheetView>
  </sheetViews>
  <sheetFormatPr defaultRowHeight="15" outlineLevelRow="0" outlineLevelCol="0" x14ac:dyDescent="0" defaultColWidth="9.42578125"/>
  <cols>
    <col min="1" max="1" width="13" style="276" customWidth="1"/>
    <col min="2" max="2" width="0.42578125" style="296" customWidth="1"/>
    <col min="3" max="3" width="5.5703125" style="276" customWidth="1"/>
    <col min="4" max="4" width="7.42578125" style="276" customWidth="1"/>
    <col min="5" max="5" width="29.5703125" style="276" customWidth="1"/>
    <col min="6" max="6" width="2.5703125" style="276" customWidth="1"/>
    <col min="7" max="7" width="10.42578125" style="276" customWidth="1"/>
    <col min="8" max="8" width="3" style="276" customWidth="1"/>
    <col min="9" max="10" width="5.5703125" style="276" customWidth="1"/>
    <col min="11" max="12" width="5.42578125" style="276" customWidth="1"/>
    <col min="13" max="13" width="4.85546875" style="276" customWidth="1"/>
    <col min="14" max="17" width="4.5703125" style="276" customWidth="1"/>
    <col min="18" max="18" width="5.42578125" style="276" customWidth="1"/>
    <col min="19" max="16384" width="9.42578125" style="276" customWidth="1"/>
  </cols>
  <sheetData>
    <row r="1" ht="38.25" customHeight="1" spans="5:5" x14ac:dyDescent="0.25">
      <c r="E1" s="297"/>
    </row>
    <row r="2" spans="1:18" x14ac:dyDescent="0.25">
      <c r="A2" s="49" t="s">
        <v>4431</v>
      </c>
      <c r="B2" s="103"/>
      <c r="C2" s="49" t="s">
        <v>4432</v>
      </c>
      <c r="D2" s="49" t="s">
        <v>4433</v>
      </c>
      <c r="E2" s="49" t="s">
        <v>4434</v>
      </c>
      <c r="F2" s="154"/>
      <c r="G2" s="113"/>
      <c r="H2" s="39">
        <v>5</v>
      </c>
      <c r="I2" s="114"/>
      <c r="J2" s="298"/>
      <c r="K2" s="299"/>
      <c r="L2" s="49"/>
      <c r="M2" s="49"/>
      <c r="N2" s="49"/>
      <c r="O2" s="49"/>
      <c r="P2" s="49"/>
      <c r="Q2" s="49"/>
      <c r="R2" s="49"/>
    </row>
    <row r="3" spans="1:18" x14ac:dyDescent="0.25">
      <c r="A3" s="49" t="s">
        <v>4435</v>
      </c>
      <c r="B3" s="103"/>
      <c r="C3" s="49" t="s">
        <v>4432</v>
      </c>
      <c r="D3" s="49" t="s">
        <v>4433</v>
      </c>
      <c r="E3" s="49" t="s">
        <v>4436</v>
      </c>
      <c r="F3" s="154"/>
      <c r="G3" s="113"/>
      <c r="H3" s="39">
        <v>3</v>
      </c>
      <c r="I3" s="114" t="s">
        <v>485</v>
      </c>
      <c r="J3" s="298" t="s">
        <v>485</v>
      </c>
      <c r="K3" s="299" t="s">
        <v>1245</v>
      </c>
      <c r="L3" s="49" t="s">
        <v>719</v>
      </c>
      <c r="M3" s="49"/>
      <c r="N3" s="49"/>
      <c r="O3" s="49"/>
      <c r="P3" s="49"/>
      <c r="Q3" s="49"/>
      <c r="R3" s="49"/>
    </row>
    <row r="4" spans="1:18" x14ac:dyDescent="0.25">
      <c r="A4" s="49" t="s">
        <v>4437</v>
      </c>
      <c r="B4" s="103"/>
      <c r="C4" s="49" t="s">
        <v>4432</v>
      </c>
      <c r="D4" s="49" t="s">
        <v>4433</v>
      </c>
      <c r="E4" s="49" t="s">
        <v>4438</v>
      </c>
      <c r="F4" s="154"/>
      <c r="G4" s="113"/>
      <c r="H4" s="39">
        <v>2</v>
      </c>
      <c r="I4" s="114" t="s">
        <v>997</v>
      </c>
      <c r="J4" s="298" t="s">
        <v>1902</v>
      </c>
      <c r="K4" s="299" t="s">
        <v>370</v>
      </c>
      <c r="L4" s="49" t="s">
        <v>1303</v>
      </c>
      <c r="M4" s="49" t="s">
        <v>2368</v>
      </c>
      <c r="N4" s="49" t="s">
        <v>4439</v>
      </c>
      <c r="O4" s="49" t="s">
        <v>1033</v>
      </c>
      <c r="P4" s="49" t="s">
        <v>554</v>
      </c>
      <c r="Q4" s="49"/>
      <c r="R4" s="49"/>
    </row>
    <row r="5" spans="1:18" x14ac:dyDescent="0.25">
      <c r="A5" s="49" t="s">
        <v>4440</v>
      </c>
      <c r="B5" s="103"/>
      <c r="C5" s="49" t="s">
        <v>4432</v>
      </c>
      <c r="D5" s="49" t="s">
        <v>4433</v>
      </c>
      <c r="E5" s="49" t="s">
        <v>4438</v>
      </c>
      <c r="F5" s="154"/>
      <c r="G5" s="113"/>
      <c r="H5" s="39">
        <v>8</v>
      </c>
      <c r="I5" s="114" t="s">
        <v>997</v>
      </c>
      <c r="J5" s="298" t="s">
        <v>554</v>
      </c>
      <c r="K5" s="299"/>
      <c r="L5" s="49"/>
      <c r="M5" s="49"/>
      <c r="N5" s="49"/>
      <c r="O5" s="49"/>
      <c r="P5" s="49"/>
      <c r="Q5" s="49"/>
      <c r="R5" s="49"/>
    </row>
    <row r="6" spans="1:18" x14ac:dyDescent="0.25">
      <c r="A6" s="49" t="s">
        <v>4441</v>
      </c>
      <c r="B6" s="103"/>
      <c r="C6" s="299" t="s">
        <v>4432</v>
      </c>
      <c r="D6" s="74" t="s">
        <v>4433</v>
      </c>
      <c r="E6" s="49" t="s">
        <v>4442</v>
      </c>
      <c r="F6" s="112"/>
      <c r="G6" s="113"/>
      <c r="H6" s="39">
        <v>5</v>
      </c>
      <c r="I6" s="114" t="s">
        <v>642</v>
      </c>
      <c r="J6" s="298" t="s">
        <v>359</v>
      </c>
      <c r="K6" s="299" t="s">
        <v>1547</v>
      </c>
      <c r="L6" s="49" t="s">
        <v>1207</v>
      </c>
      <c r="M6" s="49" t="s">
        <v>554</v>
      </c>
      <c r="N6" s="49"/>
      <c r="O6" s="49"/>
      <c r="P6" s="49"/>
      <c r="Q6" s="49"/>
      <c r="R6" s="49"/>
    </row>
    <row r="7" spans="1:18" s="285" customFormat="1" x14ac:dyDescent="0.25">
      <c r="A7" s="92" t="s">
        <v>4443</v>
      </c>
      <c r="B7" s="93"/>
      <c r="C7" s="300" t="s">
        <v>4432</v>
      </c>
      <c r="D7" s="20" t="s">
        <v>4433</v>
      </c>
      <c r="E7" s="92" t="s">
        <v>4444</v>
      </c>
      <c r="F7" s="94"/>
      <c r="G7" s="95"/>
      <c r="H7" s="96">
        <v>0</v>
      </c>
      <c r="I7" s="301" t="s">
        <v>83</v>
      </c>
      <c r="J7" s="302" t="s">
        <v>1793</v>
      </c>
      <c r="K7" s="92"/>
      <c r="L7" s="92"/>
      <c r="M7" s="92"/>
      <c r="N7" s="92"/>
      <c r="O7" s="92"/>
      <c r="P7" s="92"/>
      <c r="Q7" s="92"/>
      <c r="R7" s="92"/>
    </row>
    <row r="8" spans="1:18" s="281" customFormat="1" x14ac:dyDescent="0.25">
      <c r="A8" s="76" t="s">
        <v>4445</v>
      </c>
      <c r="B8" s="77"/>
      <c r="C8" s="158" t="s">
        <v>4432</v>
      </c>
      <c r="D8" s="29" t="s">
        <v>4433</v>
      </c>
      <c r="E8" s="76" t="s">
        <v>4446</v>
      </c>
      <c r="F8" s="78"/>
      <c r="G8" s="38"/>
      <c r="H8" s="37">
        <v>7</v>
      </c>
      <c r="I8" s="79" t="s">
        <v>83</v>
      </c>
      <c r="J8" s="272" t="s">
        <v>964</v>
      </c>
      <c r="K8" s="76" t="s">
        <v>362</v>
      </c>
      <c r="L8" s="76"/>
      <c r="M8" s="76"/>
      <c r="N8" s="76"/>
      <c r="O8" s="76"/>
      <c r="P8" s="76"/>
      <c r="Q8" s="76"/>
      <c r="R8" s="76"/>
    </row>
    <row r="9" spans="1:18" s="281" customFormat="1" x14ac:dyDescent="0.25">
      <c r="A9" s="76" t="s">
        <v>4447</v>
      </c>
      <c r="B9" s="77"/>
      <c r="C9" s="299" t="s">
        <v>4432</v>
      </c>
      <c r="D9" s="74" t="s">
        <v>4433</v>
      </c>
      <c r="E9" s="49" t="s">
        <v>4448</v>
      </c>
      <c r="F9" s="78"/>
      <c r="G9" s="38"/>
      <c r="H9" s="37">
        <v>5</v>
      </c>
      <c r="I9" s="79" t="s">
        <v>1321</v>
      </c>
      <c r="J9" s="272"/>
      <c r="K9" s="76"/>
      <c r="L9" s="76"/>
      <c r="M9" s="76"/>
      <c r="N9" s="76"/>
      <c r="O9" s="76"/>
      <c r="P9" s="76"/>
      <c r="Q9" s="76"/>
      <c r="R9" s="76"/>
    </row>
    <row r="10" spans="1:18" s="281" customFormat="1" x14ac:dyDescent="0.25">
      <c r="A10" s="76" t="s">
        <v>4449</v>
      </c>
      <c r="B10" s="77"/>
      <c r="C10" s="299" t="s">
        <v>4432</v>
      </c>
      <c r="D10" s="74" t="s">
        <v>4433</v>
      </c>
      <c r="E10" s="49" t="s">
        <v>4450</v>
      </c>
      <c r="F10" s="78"/>
      <c r="G10" s="38"/>
      <c r="H10" s="37">
        <v>5</v>
      </c>
      <c r="I10" s="79"/>
      <c r="J10" s="272"/>
      <c r="K10" s="76"/>
      <c r="L10" s="76"/>
      <c r="M10" s="76"/>
      <c r="N10" s="76"/>
      <c r="O10" s="76"/>
      <c r="P10" s="76"/>
      <c r="Q10" s="76"/>
      <c r="R10" s="76"/>
    </row>
    <row r="11" spans="1:18" s="281" customFormat="1" x14ac:dyDescent="0.25">
      <c r="A11" s="76" t="s">
        <v>4451</v>
      </c>
      <c r="B11" s="77"/>
      <c r="C11" s="299" t="s">
        <v>4432</v>
      </c>
      <c r="D11" s="74" t="s">
        <v>4433</v>
      </c>
      <c r="E11" s="49" t="s">
        <v>4452</v>
      </c>
      <c r="F11" s="78"/>
      <c r="G11" s="38"/>
      <c r="H11" s="37">
        <v>5</v>
      </c>
      <c r="I11" s="79"/>
      <c r="J11" s="272"/>
      <c r="K11" s="76"/>
      <c r="L11" s="76"/>
      <c r="M11" s="76"/>
      <c r="N11" s="76"/>
      <c r="O11" s="76"/>
      <c r="P11" s="76"/>
      <c r="Q11" s="76"/>
      <c r="R11" s="76"/>
    </row>
    <row r="12" spans="1:18" x14ac:dyDescent="0.25">
      <c r="A12" s="49" t="s">
        <v>4453</v>
      </c>
      <c r="B12" s="103"/>
      <c r="C12" s="299" t="s">
        <v>4432</v>
      </c>
      <c r="D12" s="74" t="s">
        <v>4433</v>
      </c>
      <c r="E12" s="49" t="s">
        <v>4454</v>
      </c>
      <c r="F12" s="112"/>
      <c r="G12" s="113" t="s">
        <v>4447</v>
      </c>
      <c r="H12" s="39">
        <v>9</v>
      </c>
      <c r="I12" s="114"/>
      <c r="J12" s="298"/>
      <c r="K12" s="299"/>
      <c r="L12" s="49"/>
      <c r="M12" s="49"/>
      <c r="N12" s="49"/>
      <c r="O12" s="49"/>
      <c r="P12" s="49"/>
      <c r="Q12" s="49"/>
      <c r="R12" s="49"/>
    </row>
    <row r="13" spans="1:18" x14ac:dyDescent="0.25">
      <c r="A13" s="49" t="s">
        <v>4455</v>
      </c>
      <c r="B13" s="103"/>
      <c r="C13" s="49" t="s">
        <v>4432</v>
      </c>
      <c r="D13" s="49" t="s">
        <v>4433</v>
      </c>
      <c r="E13" s="49" t="s">
        <v>4456</v>
      </c>
      <c r="F13" s="112"/>
      <c r="G13" s="113"/>
      <c r="H13" s="39">
        <v>2</v>
      </c>
      <c r="I13" s="303" t="s">
        <v>4457</v>
      </c>
      <c r="J13" s="154" t="s">
        <v>135</v>
      </c>
      <c r="K13" s="49" t="s">
        <v>2327</v>
      </c>
      <c r="L13" s="49"/>
      <c r="M13" s="49"/>
      <c r="N13" s="49"/>
      <c r="O13" s="49"/>
      <c r="P13" s="49"/>
      <c r="Q13" s="49"/>
      <c r="R13" s="49"/>
    </row>
    <row r="14" spans="1:18" x14ac:dyDescent="0.25">
      <c r="A14" s="49" t="s">
        <v>4458</v>
      </c>
      <c r="B14" s="103"/>
      <c r="C14" s="49" t="s">
        <v>4432</v>
      </c>
      <c r="D14" s="49" t="s">
        <v>4433</v>
      </c>
      <c r="E14" s="49" t="s">
        <v>4459</v>
      </c>
      <c r="F14" s="112"/>
      <c r="G14" s="113"/>
      <c r="H14" s="39">
        <v>2</v>
      </c>
      <c r="I14" s="303" t="s">
        <v>267</v>
      </c>
      <c r="J14" s="154" t="s">
        <v>49</v>
      </c>
      <c r="K14" s="49" t="s">
        <v>1015</v>
      </c>
      <c r="L14" s="49" t="s">
        <v>63</v>
      </c>
      <c r="M14" s="49" t="s">
        <v>174</v>
      </c>
      <c r="N14" s="49" t="s">
        <v>1296</v>
      </c>
      <c r="O14" s="49" t="s">
        <v>158</v>
      </c>
      <c r="P14" s="49" t="s">
        <v>404</v>
      </c>
      <c r="Q14" s="49"/>
      <c r="R14" s="49"/>
    </row>
    <row r="15" spans="1:18" x14ac:dyDescent="0.25">
      <c r="A15" s="49" t="s">
        <v>4460</v>
      </c>
      <c r="B15" s="103"/>
      <c r="C15" s="49" t="s">
        <v>4432</v>
      </c>
      <c r="D15" s="49" t="s">
        <v>4433</v>
      </c>
      <c r="E15" s="49" t="s">
        <v>4461</v>
      </c>
      <c r="F15" s="112"/>
      <c r="G15" s="113"/>
      <c r="H15" s="39">
        <v>1</v>
      </c>
      <c r="I15" s="303"/>
      <c r="J15" s="154"/>
      <c r="K15" s="49"/>
      <c r="L15" s="49"/>
      <c r="M15" s="49"/>
      <c r="N15" s="49"/>
      <c r="O15" s="49"/>
      <c r="P15" s="49"/>
      <c r="Q15" s="49"/>
      <c r="R15" s="49"/>
    </row>
    <row r="16" spans="1:18" x14ac:dyDescent="0.25">
      <c r="A16" s="49" t="s">
        <v>4462</v>
      </c>
      <c r="B16" s="103"/>
      <c r="C16" s="49"/>
      <c r="D16" s="49"/>
      <c r="E16" s="49" t="s">
        <v>4463</v>
      </c>
      <c r="F16" s="112"/>
      <c r="G16" s="113"/>
      <c r="H16" s="39">
        <v>95</v>
      </c>
      <c r="I16" s="303" t="s">
        <v>4464</v>
      </c>
      <c r="J16" s="154"/>
      <c r="K16" s="49"/>
      <c r="L16" s="49"/>
      <c r="M16" s="49"/>
      <c r="N16" s="49"/>
      <c r="O16" s="49"/>
      <c r="P16" s="49"/>
      <c r="Q16" s="49"/>
      <c r="R16" s="49"/>
    </row>
    <row r="17" spans="1:18" s="285" customFormat="1" x14ac:dyDescent="0.25">
      <c r="A17" s="92" t="s">
        <v>4465</v>
      </c>
      <c r="B17" s="93"/>
      <c r="C17" s="92" t="s">
        <v>4432</v>
      </c>
      <c r="D17" s="92" t="s">
        <v>4466</v>
      </c>
      <c r="E17" s="92" t="s">
        <v>4467</v>
      </c>
      <c r="F17" s="94"/>
      <c r="G17" s="95"/>
      <c r="H17" s="96">
        <v>0</v>
      </c>
      <c r="I17" s="97" t="s">
        <v>83</v>
      </c>
      <c r="J17" s="302" t="s">
        <v>382</v>
      </c>
      <c r="K17" s="92" t="s">
        <v>1891</v>
      </c>
      <c r="L17" s="92" t="s">
        <v>1305</v>
      </c>
      <c r="M17" s="92"/>
      <c r="N17" s="92"/>
      <c r="O17" s="92"/>
      <c r="P17" s="92"/>
      <c r="Q17" s="92"/>
      <c r="R17" s="92"/>
    </row>
    <row r="18" spans="1:18" x14ac:dyDescent="0.25">
      <c r="A18" s="49" t="s">
        <v>4468</v>
      </c>
      <c r="B18" s="103"/>
      <c r="C18" s="49" t="s">
        <v>4432</v>
      </c>
      <c r="D18" s="49" t="s">
        <v>4469</v>
      </c>
      <c r="E18" s="49" t="s">
        <v>4470</v>
      </c>
      <c r="F18" s="112"/>
      <c r="G18" s="113"/>
      <c r="H18" s="39">
        <v>2</v>
      </c>
      <c r="I18" s="114"/>
      <c r="J18" s="154"/>
      <c r="K18" s="49"/>
      <c r="L18" s="49"/>
      <c r="M18" s="49"/>
      <c r="N18" s="49"/>
      <c r="O18" s="49"/>
      <c r="P18" s="49"/>
      <c r="Q18" s="49"/>
      <c r="R18" s="49"/>
    </row>
    <row r="19" spans="1:18" x14ac:dyDescent="0.25">
      <c r="A19" s="49" t="s">
        <v>4471</v>
      </c>
      <c r="B19" s="103"/>
      <c r="C19" s="49" t="s">
        <v>4432</v>
      </c>
      <c r="D19" s="49" t="s">
        <v>4469</v>
      </c>
      <c r="E19" s="49" t="s">
        <v>4472</v>
      </c>
      <c r="F19" s="112"/>
      <c r="G19" s="113"/>
      <c r="H19" s="39">
        <v>3</v>
      </c>
      <c r="I19" s="114"/>
      <c r="J19" s="154"/>
      <c r="K19" s="49"/>
      <c r="L19" s="49"/>
      <c r="M19" s="49"/>
      <c r="N19" s="49"/>
      <c r="O19" s="49"/>
      <c r="P19" s="49"/>
      <c r="Q19" s="49"/>
      <c r="R19" s="49"/>
    </row>
    <row r="20" spans="1:18" x14ac:dyDescent="0.25">
      <c r="A20" s="49" t="s">
        <v>4473</v>
      </c>
      <c r="B20" s="103"/>
      <c r="C20" s="49" t="s">
        <v>4432</v>
      </c>
      <c r="D20" s="49" t="s">
        <v>4469</v>
      </c>
      <c r="E20" s="49" t="s">
        <v>4474</v>
      </c>
      <c r="F20" s="112"/>
      <c r="G20" s="113"/>
      <c r="H20" s="96">
        <v>0</v>
      </c>
      <c r="I20" s="114" t="s">
        <v>928</v>
      </c>
      <c r="J20" s="154"/>
      <c r="K20" s="49"/>
      <c r="L20" s="49"/>
      <c r="M20" s="49"/>
      <c r="N20" s="49"/>
      <c r="O20" s="49"/>
      <c r="P20" s="49"/>
      <c r="Q20" s="49"/>
      <c r="R20" s="49"/>
    </row>
    <row r="21" spans="1:18" s="285" customFormat="1" x14ac:dyDescent="0.25">
      <c r="A21" s="92" t="s">
        <v>4475</v>
      </c>
      <c r="B21" s="93"/>
      <c r="C21" s="92" t="s">
        <v>4432</v>
      </c>
      <c r="D21" s="92" t="s">
        <v>4469</v>
      </c>
      <c r="E21" s="92" t="s">
        <v>4476</v>
      </c>
      <c r="F21" s="94"/>
      <c r="G21" s="95"/>
      <c r="H21" s="96">
        <v>0</v>
      </c>
      <c r="I21" s="301"/>
      <c r="J21" s="302"/>
      <c r="K21" s="92"/>
      <c r="L21" s="92"/>
      <c r="M21" s="92"/>
      <c r="N21" s="92"/>
      <c r="O21" s="92"/>
      <c r="P21" s="92"/>
      <c r="Q21" s="92"/>
      <c r="R21" s="92"/>
    </row>
    <row r="22" spans="1:18" x14ac:dyDescent="0.25">
      <c r="A22" s="49" t="s">
        <v>4477</v>
      </c>
      <c r="B22" s="103"/>
      <c r="C22" s="49" t="s">
        <v>4432</v>
      </c>
      <c r="D22" s="49" t="s">
        <v>4469</v>
      </c>
      <c r="E22" s="49" t="s">
        <v>4478</v>
      </c>
      <c r="F22" s="112"/>
      <c r="G22" s="113"/>
      <c r="H22" s="39">
        <v>1</v>
      </c>
      <c r="I22" s="114"/>
      <c r="J22" s="154"/>
      <c r="K22" s="49"/>
      <c r="L22" s="49"/>
      <c r="M22" s="49"/>
      <c r="N22" s="49"/>
      <c r="O22" s="49"/>
      <c r="P22" s="49"/>
      <c r="Q22" s="49"/>
      <c r="R22" s="49"/>
    </row>
    <row r="23" spans="1:18" x14ac:dyDescent="0.25">
      <c r="A23" s="49" t="s">
        <v>4479</v>
      </c>
      <c r="B23" s="103"/>
      <c r="C23" s="49" t="s">
        <v>4432</v>
      </c>
      <c r="D23" s="49" t="s">
        <v>4480</v>
      </c>
      <c r="E23" s="49" t="s">
        <v>4481</v>
      </c>
      <c r="F23" s="112"/>
      <c r="G23" s="113"/>
      <c r="H23" s="39">
        <v>9</v>
      </c>
      <c r="I23" s="114" t="s">
        <v>491</v>
      </c>
      <c r="J23" s="154"/>
      <c r="K23" s="49"/>
      <c r="L23" s="49"/>
      <c r="M23" s="49"/>
      <c r="N23" s="49"/>
      <c r="O23" s="49"/>
      <c r="P23" s="49"/>
      <c r="Q23" s="49"/>
      <c r="R23" s="49"/>
    </row>
    <row r="24" spans="1:18" x14ac:dyDescent="0.25">
      <c r="A24" s="49" t="s">
        <v>4482</v>
      </c>
      <c r="B24" s="103"/>
      <c r="C24" s="49" t="s">
        <v>4432</v>
      </c>
      <c r="D24" s="49" t="s">
        <v>4480</v>
      </c>
      <c r="E24" s="49" t="s">
        <v>4483</v>
      </c>
      <c r="F24" s="112"/>
      <c r="G24" s="113"/>
      <c r="H24" s="39">
        <v>7</v>
      </c>
      <c r="I24" s="114"/>
      <c r="J24" s="154"/>
      <c r="K24" s="49"/>
      <c r="L24" s="49"/>
      <c r="M24" s="49"/>
      <c r="N24" s="49"/>
      <c r="O24" s="49"/>
      <c r="P24" s="49"/>
      <c r="Q24" s="49"/>
      <c r="R24" s="49"/>
    </row>
    <row r="25" spans="1:18" x14ac:dyDescent="0.25">
      <c r="A25" s="49" t="s">
        <v>4484</v>
      </c>
      <c r="B25" s="103"/>
      <c r="C25" s="49" t="s">
        <v>4432</v>
      </c>
      <c r="D25" s="49" t="s">
        <v>4480</v>
      </c>
      <c r="E25" s="49" t="s">
        <v>4485</v>
      </c>
      <c r="F25" s="112"/>
      <c r="G25" s="113"/>
      <c r="H25" s="39">
        <v>5</v>
      </c>
      <c r="I25" s="114" t="s">
        <v>2040</v>
      </c>
      <c r="J25" s="154"/>
      <c r="K25" s="49"/>
      <c r="L25" s="49"/>
      <c r="M25" s="49"/>
      <c r="N25" s="49"/>
      <c r="O25" s="49"/>
      <c r="P25" s="49"/>
      <c r="Q25" s="49"/>
      <c r="R25" s="49"/>
    </row>
    <row r="26" spans="1:18" x14ac:dyDescent="0.25">
      <c r="A26" s="49" t="s">
        <v>4486</v>
      </c>
      <c r="B26" s="103"/>
      <c r="C26" s="49" t="s">
        <v>4432</v>
      </c>
      <c r="D26" s="49" t="s">
        <v>4480</v>
      </c>
      <c r="E26" s="49" t="s">
        <v>4487</v>
      </c>
      <c r="F26" s="112"/>
      <c r="G26" s="113"/>
      <c r="H26" s="39">
        <v>7</v>
      </c>
      <c r="I26" s="114" t="s">
        <v>2040</v>
      </c>
      <c r="J26" s="154" t="s">
        <v>2438</v>
      </c>
      <c r="K26" s="49"/>
      <c r="L26" s="49"/>
      <c r="M26" s="49"/>
      <c r="N26" s="49"/>
      <c r="O26" s="49"/>
      <c r="P26" s="49"/>
      <c r="Q26" s="49"/>
      <c r="R26" s="49"/>
    </row>
    <row r="27" spans="1:18" x14ac:dyDescent="0.25">
      <c r="A27" s="49" t="s">
        <v>4488</v>
      </c>
      <c r="B27" s="103"/>
      <c r="C27" s="49" t="s">
        <v>4432</v>
      </c>
      <c r="D27" s="49" t="s">
        <v>4480</v>
      </c>
      <c r="E27" s="49" t="s">
        <v>4489</v>
      </c>
      <c r="F27" s="112"/>
      <c r="G27" s="113"/>
      <c r="H27" s="39">
        <v>4</v>
      </c>
      <c r="I27" s="114" t="s">
        <v>250</v>
      </c>
      <c r="J27" s="154" t="s">
        <v>4490</v>
      </c>
      <c r="K27" s="49"/>
      <c r="L27" s="49"/>
      <c r="M27" s="49"/>
      <c r="N27" s="49"/>
      <c r="O27" s="49"/>
      <c r="P27" s="49"/>
      <c r="Q27" s="49"/>
      <c r="R27" s="49"/>
    </row>
    <row r="28" spans="1:18" x14ac:dyDescent="0.25">
      <c r="A28" s="49" t="s">
        <v>4491</v>
      </c>
      <c r="B28" s="103"/>
      <c r="C28" s="49" t="s">
        <v>4432</v>
      </c>
      <c r="D28" s="49" t="s">
        <v>4480</v>
      </c>
      <c r="E28" s="49" t="s">
        <v>4492</v>
      </c>
      <c r="F28" s="112"/>
      <c r="G28" s="113"/>
      <c r="H28" s="39">
        <v>3</v>
      </c>
      <c r="I28" s="114" t="s">
        <v>4493</v>
      </c>
      <c r="J28" s="154"/>
      <c r="K28" s="49"/>
      <c r="L28" s="49"/>
      <c r="M28" s="49"/>
      <c r="N28" s="49"/>
      <c r="O28" s="49"/>
      <c r="P28" s="49"/>
      <c r="Q28" s="49"/>
      <c r="R28" s="49"/>
    </row>
    <row r="29" spans="1:18" x14ac:dyDescent="0.25">
      <c r="A29" s="49" t="s">
        <v>4494</v>
      </c>
      <c r="B29" s="103"/>
      <c r="C29" s="49" t="s">
        <v>4432</v>
      </c>
      <c r="D29" s="49" t="s">
        <v>4480</v>
      </c>
      <c r="E29" s="49" t="s">
        <v>4495</v>
      </c>
      <c r="F29" s="112"/>
      <c r="G29" s="113"/>
      <c r="H29" s="39">
        <v>4</v>
      </c>
      <c r="I29" s="114" t="s">
        <v>358</v>
      </c>
      <c r="J29" s="154" t="s">
        <v>1483</v>
      </c>
      <c r="K29" s="49" t="s">
        <v>583</v>
      </c>
      <c r="L29" s="49" t="s">
        <v>4496</v>
      </c>
      <c r="M29" s="49" t="s">
        <v>75</v>
      </c>
      <c r="N29" s="299"/>
      <c r="O29" s="49"/>
      <c r="P29" s="49"/>
      <c r="Q29" s="49"/>
      <c r="R29" s="49"/>
    </row>
    <row r="30" spans="1:18" x14ac:dyDescent="0.25">
      <c r="A30" s="49" t="s">
        <v>4497</v>
      </c>
      <c r="B30" s="103"/>
      <c r="C30" s="49" t="s">
        <v>4432</v>
      </c>
      <c r="D30" s="49" t="s">
        <v>4498</v>
      </c>
      <c r="E30" s="49" t="s">
        <v>4499</v>
      </c>
      <c r="F30" s="112"/>
      <c r="G30" s="113"/>
      <c r="H30" s="39">
        <v>3</v>
      </c>
      <c r="I30" s="114" t="s">
        <v>44</v>
      </c>
      <c r="J30" s="154" t="s">
        <v>1304</v>
      </c>
      <c r="K30" s="49" t="s">
        <v>1305</v>
      </c>
      <c r="L30" s="49"/>
      <c r="M30" s="49"/>
      <c r="N30" s="49"/>
      <c r="O30" s="49"/>
      <c r="P30" s="49"/>
      <c r="Q30" s="49"/>
      <c r="R30" s="49"/>
    </row>
    <row r="31" spans="1:18" x14ac:dyDescent="0.25">
      <c r="A31" s="49" t="s">
        <v>4500</v>
      </c>
      <c r="B31" s="103"/>
      <c r="C31" s="49" t="s">
        <v>4432</v>
      </c>
      <c r="D31" s="49" t="s">
        <v>4498</v>
      </c>
      <c r="E31" s="49" t="s">
        <v>4501</v>
      </c>
      <c r="F31" s="112"/>
      <c r="G31" s="113"/>
      <c r="H31" s="39">
        <v>2</v>
      </c>
      <c r="I31" s="49"/>
      <c r="J31" s="154"/>
      <c r="K31" s="49"/>
      <c r="L31" s="49"/>
      <c r="M31" s="49"/>
      <c r="N31" s="49"/>
      <c r="O31" s="49"/>
      <c r="P31" s="49"/>
      <c r="Q31" s="49"/>
      <c r="R31" s="49"/>
    </row>
    <row r="32" spans="1:18" x14ac:dyDescent="0.25">
      <c r="A32" s="49" t="s">
        <v>4502</v>
      </c>
      <c r="B32" s="103"/>
      <c r="C32" s="49" t="s">
        <v>4432</v>
      </c>
      <c r="D32" s="49" t="s">
        <v>4498</v>
      </c>
      <c r="E32" s="49" t="s">
        <v>4503</v>
      </c>
      <c r="F32" s="112"/>
      <c r="G32" s="113"/>
      <c r="H32" s="39">
        <v>1</v>
      </c>
      <c r="I32" s="49"/>
      <c r="J32" s="154"/>
      <c r="K32" s="49"/>
      <c r="L32" s="49"/>
      <c r="M32" s="49"/>
      <c r="N32" s="49"/>
      <c r="O32" s="49"/>
      <c r="P32" s="49"/>
      <c r="Q32" s="49"/>
      <c r="R32" s="49"/>
    </row>
    <row r="33" spans="1:18" x14ac:dyDescent="0.25">
      <c r="A33" s="49" t="s">
        <v>4504</v>
      </c>
      <c r="B33" s="103"/>
      <c r="C33" s="49" t="s">
        <v>4505</v>
      </c>
      <c r="D33" s="49" t="s">
        <v>4498</v>
      </c>
      <c r="E33" s="49" t="s">
        <v>4506</v>
      </c>
      <c r="F33" s="112"/>
      <c r="G33" s="113"/>
      <c r="H33" s="39">
        <v>1</v>
      </c>
      <c r="I33" s="114" t="s">
        <v>4507</v>
      </c>
      <c r="J33" s="154"/>
      <c r="K33" s="49"/>
      <c r="L33" s="49"/>
      <c r="M33" s="49"/>
      <c r="N33" s="49"/>
      <c r="O33" s="49"/>
      <c r="P33" s="49"/>
      <c r="Q33" s="49"/>
      <c r="R33" s="49"/>
    </row>
    <row r="34" spans="1:18" x14ac:dyDescent="0.25">
      <c r="A34" s="49" t="s">
        <v>4508</v>
      </c>
      <c r="B34" s="103"/>
      <c r="C34" s="49" t="s">
        <v>4505</v>
      </c>
      <c r="D34" s="49" t="s">
        <v>4498</v>
      </c>
      <c r="E34" s="49" t="s">
        <v>4509</v>
      </c>
      <c r="F34" s="112"/>
      <c r="G34" s="113"/>
      <c r="H34" s="39">
        <v>5</v>
      </c>
      <c r="I34" s="114" t="s">
        <v>4507</v>
      </c>
      <c r="J34" s="154"/>
      <c r="K34" s="49"/>
      <c r="L34" s="49"/>
      <c r="M34" s="49"/>
      <c r="N34" s="49"/>
      <c r="O34" s="49"/>
      <c r="P34" s="49"/>
      <c r="Q34" s="49"/>
      <c r="R34" s="49"/>
    </row>
    <row r="35" spans="1:18" x14ac:dyDescent="0.25">
      <c r="A35" s="49" t="s">
        <v>4510</v>
      </c>
      <c r="B35" s="103"/>
      <c r="C35" s="49" t="s">
        <v>4505</v>
      </c>
      <c r="D35" s="49" t="s">
        <v>4498</v>
      </c>
      <c r="E35" s="49" t="s">
        <v>4511</v>
      </c>
      <c r="F35" s="112"/>
      <c r="G35" s="113"/>
      <c r="H35" s="39">
        <v>4</v>
      </c>
      <c r="I35" s="114"/>
      <c r="J35" s="154"/>
      <c r="K35" s="49"/>
      <c r="L35" s="49"/>
      <c r="M35" s="49"/>
      <c r="N35" s="49"/>
      <c r="O35" s="49"/>
      <c r="P35" s="49"/>
      <c r="Q35" s="49"/>
      <c r="R35" s="49"/>
    </row>
    <row r="36" spans="1:18" s="285" customFormat="1" x14ac:dyDescent="0.25">
      <c r="A36" s="92" t="s">
        <v>4512</v>
      </c>
      <c r="B36" s="93"/>
      <c r="C36" s="92" t="s">
        <v>4432</v>
      </c>
      <c r="D36" s="92" t="s">
        <v>4498</v>
      </c>
      <c r="E36" s="92" t="s">
        <v>4513</v>
      </c>
      <c r="F36" s="94"/>
      <c r="G36" s="95"/>
      <c r="H36" s="96">
        <v>0</v>
      </c>
      <c r="I36" s="301" t="s">
        <v>250</v>
      </c>
      <c r="J36" s="302" t="s">
        <v>3570</v>
      </c>
      <c r="K36" s="92"/>
      <c r="L36" s="92"/>
      <c r="M36" s="92"/>
      <c r="N36" s="92"/>
      <c r="O36" s="92"/>
      <c r="P36" s="92"/>
      <c r="Q36" s="92"/>
      <c r="R36" s="92"/>
    </row>
    <row r="37" spans="1:18" x14ac:dyDescent="0.25">
      <c r="A37" s="49" t="s">
        <v>4514</v>
      </c>
      <c r="B37" s="103"/>
      <c r="C37" s="49" t="s">
        <v>4432</v>
      </c>
      <c r="D37" s="49" t="s">
        <v>4498</v>
      </c>
      <c r="E37" s="49" t="s">
        <v>4515</v>
      </c>
      <c r="F37" s="112"/>
      <c r="G37" s="113"/>
      <c r="H37" s="39">
        <v>16</v>
      </c>
      <c r="I37" s="114"/>
      <c r="J37" s="154"/>
      <c r="K37" s="49"/>
      <c r="L37" s="49"/>
      <c r="M37" s="49"/>
      <c r="N37" s="49"/>
      <c r="O37" s="49"/>
      <c r="P37" s="49"/>
      <c r="Q37" s="49"/>
      <c r="R37" s="49"/>
    </row>
    <row r="38" spans="1:18" x14ac:dyDescent="0.25">
      <c r="A38" s="49" t="s">
        <v>4516</v>
      </c>
      <c r="B38" s="103"/>
      <c r="C38" s="49" t="s">
        <v>4432</v>
      </c>
      <c r="D38" s="49" t="s">
        <v>4498</v>
      </c>
      <c r="E38" s="49" t="s">
        <v>4517</v>
      </c>
      <c r="F38" s="112"/>
      <c r="G38" s="113"/>
      <c r="H38" s="39">
        <v>11</v>
      </c>
      <c r="I38" s="114"/>
      <c r="J38" s="154"/>
      <c r="K38" s="49"/>
      <c r="L38" s="49"/>
      <c r="M38" s="49"/>
      <c r="N38" s="49"/>
      <c r="O38" s="49"/>
      <c r="P38" s="49"/>
      <c r="Q38" s="49"/>
      <c r="R38" s="49"/>
    </row>
    <row r="39" spans="1:18" x14ac:dyDescent="0.25">
      <c r="A39" s="49" t="s">
        <v>4518</v>
      </c>
      <c r="B39" s="103"/>
      <c r="C39" s="49" t="s">
        <v>4432</v>
      </c>
      <c r="D39" s="49" t="s">
        <v>4498</v>
      </c>
      <c r="E39" s="49" t="s">
        <v>4519</v>
      </c>
      <c r="F39" s="112"/>
      <c r="G39" s="113"/>
      <c r="H39" s="39">
        <v>8</v>
      </c>
      <c r="I39" s="114"/>
      <c r="J39" s="154"/>
      <c r="K39" s="49"/>
      <c r="L39" s="49"/>
      <c r="M39" s="49"/>
      <c r="N39" s="49"/>
      <c r="O39" s="49"/>
      <c r="P39" s="49"/>
      <c r="Q39" s="49"/>
      <c r="R39" s="49"/>
    </row>
    <row r="40" spans="1:18" x14ac:dyDescent="0.25">
      <c r="A40" s="49" t="s">
        <v>4520</v>
      </c>
      <c r="B40" s="103"/>
      <c r="C40" s="49" t="s">
        <v>4432</v>
      </c>
      <c r="D40" s="49" t="s">
        <v>4498</v>
      </c>
      <c r="E40" s="49" t="s">
        <v>4521</v>
      </c>
      <c r="F40" s="112"/>
      <c r="G40" s="113"/>
      <c r="H40" s="39">
        <v>2</v>
      </c>
      <c r="I40" s="114" t="s">
        <v>1244</v>
      </c>
      <c r="J40" s="154" t="s">
        <v>1303</v>
      </c>
      <c r="K40" s="49" t="s">
        <v>135</v>
      </c>
      <c r="L40" s="49" t="s">
        <v>2308</v>
      </c>
      <c r="M40" s="49"/>
      <c r="N40" s="49"/>
      <c r="O40" s="49"/>
      <c r="P40" s="49"/>
      <c r="Q40" s="49"/>
      <c r="R40" s="49"/>
    </row>
    <row r="41" spans="1:18" x14ac:dyDescent="0.25">
      <c r="A41" s="49" t="s">
        <v>4522</v>
      </c>
      <c r="B41" s="103"/>
      <c r="C41" s="49" t="s">
        <v>4432</v>
      </c>
      <c r="D41" s="49"/>
      <c r="E41" s="49" t="s">
        <v>4523</v>
      </c>
      <c r="F41" s="112"/>
      <c r="G41" s="113"/>
      <c r="H41" s="39">
        <v>2</v>
      </c>
      <c r="I41" s="114"/>
      <c r="J41" s="154"/>
      <c r="K41" s="49"/>
      <c r="L41" s="49"/>
      <c r="M41" s="49"/>
      <c r="N41" s="49"/>
      <c r="O41" s="49"/>
      <c r="P41" s="49"/>
      <c r="Q41" s="49"/>
      <c r="R41" s="49"/>
    </row>
    <row r="42" spans="1:18" s="285" customFormat="1" x14ac:dyDescent="0.25">
      <c r="A42" s="92" t="s">
        <v>4524</v>
      </c>
      <c r="B42" s="93"/>
      <c r="C42" s="92" t="s">
        <v>4432</v>
      </c>
      <c r="D42" s="92"/>
      <c r="E42" s="92" t="s">
        <v>4525</v>
      </c>
      <c r="F42" s="94"/>
      <c r="G42" s="95"/>
      <c r="H42" s="96">
        <v>0</v>
      </c>
      <c r="I42" s="301" t="s">
        <v>219</v>
      </c>
      <c r="J42" s="302"/>
      <c r="K42" s="92"/>
      <c r="L42" s="92"/>
      <c r="M42" s="92"/>
      <c r="N42" s="92"/>
      <c r="O42" s="92"/>
      <c r="P42" s="92"/>
      <c r="Q42" s="92"/>
      <c r="R42" s="92"/>
    </row>
    <row r="43" spans="1:18" x14ac:dyDescent="0.25">
      <c r="A43" s="49" t="s">
        <v>4526</v>
      </c>
      <c r="B43" s="103"/>
      <c r="C43" s="49" t="s">
        <v>4432</v>
      </c>
      <c r="D43" s="49"/>
      <c r="E43" s="49" t="s">
        <v>4527</v>
      </c>
      <c r="F43" s="112"/>
      <c r="G43" s="113"/>
      <c r="H43" s="39">
        <v>5</v>
      </c>
      <c r="I43" s="303" t="s">
        <v>642</v>
      </c>
      <c r="J43" s="154"/>
      <c r="K43" s="49"/>
      <c r="L43" s="49"/>
      <c r="M43" s="49"/>
      <c r="N43" s="49"/>
      <c r="O43" s="49"/>
      <c r="P43" s="49"/>
      <c r="Q43" s="49"/>
      <c r="R43" s="49"/>
    </row>
    <row r="44" spans="1:18" x14ac:dyDescent="0.25">
      <c r="A44" s="49" t="s">
        <v>4528</v>
      </c>
      <c r="B44" s="103"/>
      <c r="C44" s="49" t="s">
        <v>4432</v>
      </c>
      <c r="D44" s="49"/>
      <c r="E44" s="49" t="s">
        <v>4529</v>
      </c>
      <c r="F44" s="112"/>
      <c r="G44" s="113"/>
      <c r="H44" s="39">
        <v>1</v>
      </c>
      <c r="I44" s="114" t="s">
        <v>1304</v>
      </c>
      <c r="J44" s="154"/>
      <c r="K44" s="49"/>
      <c r="L44" s="49"/>
      <c r="M44" s="49"/>
      <c r="N44" s="49"/>
      <c r="O44" s="49"/>
      <c r="P44" s="49"/>
      <c r="Q44" s="49"/>
      <c r="R44" s="49"/>
    </row>
    <row r="45" spans="1:18" x14ac:dyDescent="0.25">
      <c r="A45" s="49" t="s">
        <v>4530</v>
      </c>
      <c r="B45" s="103"/>
      <c r="C45" s="49" t="s">
        <v>4432</v>
      </c>
      <c r="D45" s="49"/>
      <c r="E45" s="49" t="s">
        <v>4531</v>
      </c>
      <c r="F45" s="112"/>
      <c r="G45" s="113"/>
      <c r="H45" s="39">
        <v>4</v>
      </c>
      <c r="I45" s="114" t="s">
        <v>359</v>
      </c>
      <c r="J45" s="154"/>
      <c r="K45" s="49"/>
      <c r="L45" s="49"/>
      <c r="M45" s="49"/>
      <c r="N45" s="49"/>
      <c r="O45" s="49"/>
      <c r="P45" s="49"/>
      <c r="Q45" s="49"/>
      <c r="R45" s="49"/>
    </row>
    <row r="46" spans="1:18" x14ac:dyDescent="0.25">
      <c r="A46" s="49" t="s">
        <v>4532</v>
      </c>
      <c r="B46" s="103"/>
      <c r="C46" s="49" t="s">
        <v>4432</v>
      </c>
      <c r="D46" s="49"/>
      <c r="E46" s="49" t="s">
        <v>4533</v>
      </c>
      <c r="F46" s="112"/>
      <c r="G46" s="113"/>
      <c r="H46" s="39">
        <v>3</v>
      </c>
      <c r="I46" s="114"/>
      <c r="J46" s="154"/>
      <c r="K46" s="49"/>
      <c r="L46" s="49"/>
      <c r="M46" s="49"/>
      <c r="N46" s="49"/>
      <c r="O46" s="49"/>
      <c r="P46" s="49"/>
      <c r="Q46" s="49"/>
      <c r="R46" s="49"/>
    </row>
    <row r="47" spans="1:18" x14ac:dyDescent="0.25">
      <c r="A47" s="49" t="s">
        <v>4534</v>
      </c>
      <c r="B47" s="103"/>
      <c r="C47" s="49" t="s">
        <v>4432</v>
      </c>
      <c r="D47" s="49"/>
      <c r="E47" s="49" t="s">
        <v>4535</v>
      </c>
      <c r="F47" s="112"/>
      <c r="G47" s="113"/>
      <c r="H47" s="39">
        <v>6</v>
      </c>
      <c r="I47" s="114"/>
      <c r="J47" s="154"/>
      <c r="K47" s="49"/>
      <c r="L47" s="49"/>
      <c r="M47" s="49"/>
      <c r="N47" s="49"/>
      <c r="O47" s="49"/>
      <c r="P47" s="49"/>
      <c r="Q47" s="49"/>
      <c r="R47" s="49"/>
    </row>
    <row r="48" spans="1:18" x14ac:dyDescent="0.25">
      <c r="A48" s="49" t="s">
        <v>4536</v>
      </c>
      <c r="B48" s="103"/>
      <c r="C48" s="49" t="s">
        <v>4432</v>
      </c>
      <c r="D48" s="49"/>
      <c r="E48" s="49" t="s">
        <v>4537</v>
      </c>
      <c r="F48" s="112"/>
      <c r="G48" s="113"/>
      <c r="H48" s="39">
        <v>4</v>
      </c>
      <c r="I48" s="114"/>
      <c r="J48" s="154"/>
      <c r="K48" s="49"/>
      <c r="L48" s="299"/>
      <c r="M48" s="49"/>
      <c r="N48" s="49"/>
      <c r="O48" s="49"/>
      <c r="P48" s="49"/>
      <c r="Q48" s="49"/>
      <c r="R48" s="49"/>
    </row>
    <row r="49" spans="1:18" x14ac:dyDescent="0.25">
      <c r="A49" s="49" t="s">
        <v>4538</v>
      </c>
      <c r="B49" s="103"/>
      <c r="C49" s="49" t="s">
        <v>4432</v>
      </c>
      <c r="D49" s="49"/>
      <c r="E49" s="49" t="s">
        <v>4539</v>
      </c>
      <c r="F49" s="112"/>
      <c r="G49" s="113"/>
      <c r="H49" s="39">
        <v>1</v>
      </c>
      <c r="I49" s="114"/>
      <c r="J49" s="154"/>
      <c r="K49" s="49"/>
      <c r="L49" s="49"/>
      <c r="M49" s="49"/>
      <c r="N49" s="299"/>
      <c r="O49" s="49"/>
      <c r="P49" s="49"/>
      <c r="Q49" s="49"/>
      <c r="R49" s="49"/>
    </row>
    <row r="50" spans="1:18" x14ac:dyDescent="0.25">
      <c r="A50" s="49" t="s">
        <v>4540</v>
      </c>
      <c r="B50" s="103"/>
      <c r="C50" s="49" t="s">
        <v>4432</v>
      </c>
      <c r="D50" s="49"/>
      <c r="E50" s="49" t="s">
        <v>4541</v>
      </c>
      <c r="F50" s="154"/>
      <c r="G50" s="95"/>
      <c r="H50" s="96">
        <v>0</v>
      </c>
      <c r="I50" s="114" t="s">
        <v>1376</v>
      </c>
      <c r="J50" s="154" t="s">
        <v>871</v>
      </c>
      <c r="K50" s="49" t="s">
        <v>3806</v>
      </c>
      <c r="L50" s="49" t="s">
        <v>473</v>
      </c>
      <c r="M50" s="49" t="s">
        <v>404</v>
      </c>
      <c r="N50" s="49"/>
      <c r="O50" s="49"/>
      <c r="P50" s="49"/>
      <c r="Q50" s="49"/>
      <c r="R50" s="49"/>
    </row>
    <row r="51" spans="1:18" x14ac:dyDescent="0.25">
      <c r="A51" s="49" t="s">
        <v>4542</v>
      </c>
      <c r="B51" s="103"/>
      <c r="C51" s="49" t="s">
        <v>4432</v>
      </c>
      <c r="D51" s="49"/>
      <c r="E51" s="49" t="s">
        <v>4543</v>
      </c>
      <c r="F51" s="154"/>
      <c r="G51" s="113"/>
      <c r="H51" s="39">
        <v>1</v>
      </c>
      <c r="I51" s="114"/>
      <c r="J51" s="154"/>
      <c r="K51" s="49"/>
      <c r="L51" s="49"/>
      <c r="M51" s="49"/>
      <c r="N51" s="49"/>
      <c r="O51" s="49"/>
      <c r="P51" s="49"/>
      <c r="Q51" s="49"/>
      <c r="R51" s="49"/>
    </row>
    <row r="52" spans="1:18" x14ac:dyDescent="0.25">
      <c r="A52" s="49" t="s">
        <v>4544</v>
      </c>
      <c r="B52" s="103"/>
      <c r="C52" s="49" t="s">
        <v>4432</v>
      </c>
      <c r="D52" s="49"/>
      <c r="E52" s="49" t="s">
        <v>4545</v>
      </c>
      <c r="F52" s="154"/>
      <c r="G52" s="113"/>
      <c r="H52" s="39">
        <v>2</v>
      </c>
      <c r="I52" s="114"/>
      <c r="J52" s="154"/>
      <c r="K52" s="49"/>
      <c r="L52" s="49"/>
      <c r="M52" s="49"/>
      <c r="N52" s="49"/>
      <c r="O52" s="49"/>
      <c r="P52" s="49"/>
      <c r="Q52" s="49"/>
      <c r="R52" s="49"/>
    </row>
    <row r="53" spans="1:18" x14ac:dyDescent="0.25">
      <c r="A53" s="49" t="s">
        <v>4546</v>
      </c>
      <c r="B53" s="103"/>
      <c r="C53" s="49" t="s">
        <v>4432</v>
      </c>
      <c r="D53" s="49"/>
      <c r="E53" s="49" t="s">
        <v>4547</v>
      </c>
      <c r="F53" s="154"/>
      <c r="G53" s="113"/>
      <c r="H53" s="39">
        <v>2</v>
      </c>
      <c r="I53" s="114" t="s">
        <v>267</v>
      </c>
      <c r="J53" s="298"/>
      <c r="K53" s="49"/>
      <c r="L53" s="49"/>
      <c r="M53" s="49"/>
      <c r="N53" s="49"/>
      <c r="O53" s="49"/>
      <c r="P53" s="49"/>
      <c r="Q53" s="49"/>
      <c r="R53" s="49"/>
    </row>
    <row r="54" spans="1:18" x14ac:dyDescent="0.25">
      <c r="A54" s="49" t="s">
        <v>4548</v>
      </c>
      <c r="B54" s="103"/>
      <c r="C54" s="49" t="s">
        <v>4432</v>
      </c>
      <c r="D54" s="49"/>
      <c r="E54" s="49" t="s">
        <v>4549</v>
      </c>
      <c r="F54" s="154"/>
      <c r="G54" s="113"/>
      <c r="H54" s="39">
        <v>8</v>
      </c>
      <c r="I54" s="114"/>
      <c r="J54" s="298"/>
      <c r="K54" s="49"/>
      <c r="L54" s="49"/>
      <c r="M54" s="49"/>
      <c r="N54" s="49"/>
      <c r="O54" s="49"/>
      <c r="P54" s="49"/>
      <c r="Q54" s="49"/>
      <c r="R54" s="299"/>
    </row>
    <row r="55" spans="1:18" x14ac:dyDescent="0.25">
      <c r="A55" s="49" t="s">
        <v>4550</v>
      </c>
      <c r="B55" s="103"/>
      <c r="C55" s="49" t="s">
        <v>4432</v>
      </c>
      <c r="D55" s="49"/>
      <c r="E55" s="49" t="s">
        <v>4551</v>
      </c>
      <c r="F55" s="154"/>
      <c r="G55" s="113"/>
      <c r="H55" s="39">
        <v>12</v>
      </c>
      <c r="I55" s="114" t="s">
        <v>735</v>
      </c>
      <c r="J55" s="154"/>
      <c r="K55" s="49"/>
      <c r="L55" s="49"/>
      <c r="M55" s="49"/>
      <c r="N55" s="49"/>
      <c r="O55" s="49"/>
      <c r="P55" s="49"/>
      <c r="Q55" s="49"/>
      <c r="R55" s="49"/>
    </row>
    <row r="56" spans="1:18" x14ac:dyDescent="0.25">
      <c r="A56" s="101" t="s">
        <v>4552</v>
      </c>
      <c r="B56" s="166"/>
      <c r="C56" s="49" t="s">
        <v>4432</v>
      </c>
      <c r="D56" s="101"/>
      <c r="E56" s="101" t="s">
        <v>4553</v>
      </c>
      <c r="F56" s="168"/>
      <c r="G56" s="169"/>
      <c r="H56" s="170">
        <v>11</v>
      </c>
      <c r="I56" s="303"/>
      <c r="J56" s="154"/>
      <c r="K56" s="49"/>
      <c r="L56" s="49"/>
      <c r="M56" s="49"/>
      <c r="N56" s="49"/>
      <c r="O56" s="49"/>
      <c r="P56" s="49"/>
      <c r="Q56" s="49"/>
      <c r="R56" s="49"/>
    </row>
    <row r="57" spans="1:18" x14ac:dyDescent="0.25">
      <c r="A57" s="101" t="s">
        <v>4554</v>
      </c>
      <c r="B57" s="166"/>
      <c r="C57" s="49" t="s">
        <v>4432</v>
      </c>
      <c r="D57" s="101"/>
      <c r="E57" s="101" t="s">
        <v>4555</v>
      </c>
      <c r="F57" s="168"/>
      <c r="G57" s="113"/>
      <c r="H57" s="39">
        <v>3</v>
      </c>
      <c r="I57" s="114" t="s">
        <v>64</v>
      </c>
      <c r="J57" s="154"/>
      <c r="K57" s="49"/>
      <c r="L57" s="49"/>
      <c r="M57" s="49"/>
      <c r="N57" s="49"/>
      <c r="O57" s="49"/>
      <c r="P57" s="49"/>
      <c r="Q57" s="49"/>
      <c r="R57" s="49"/>
    </row>
    <row r="58" spans="1:18" x14ac:dyDescent="0.25">
      <c r="A58" s="101" t="s">
        <v>4556</v>
      </c>
      <c r="B58" s="166"/>
      <c r="C58" s="49" t="s">
        <v>4432</v>
      </c>
      <c r="D58" s="101" t="s">
        <v>4498</v>
      </c>
      <c r="E58" s="101" t="s">
        <v>4557</v>
      </c>
      <c r="F58" s="168"/>
      <c r="G58" s="113"/>
      <c r="H58" s="39">
        <v>4</v>
      </c>
      <c r="I58" s="114" t="s">
        <v>83</v>
      </c>
      <c r="J58" s="154" t="s">
        <v>218</v>
      </c>
      <c r="K58" s="49" t="s">
        <v>1908</v>
      </c>
      <c r="L58" s="49" t="s">
        <v>3367</v>
      </c>
      <c r="M58" s="49" t="s">
        <v>736</v>
      </c>
      <c r="N58" s="49"/>
      <c r="O58" s="49"/>
      <c r="P58" s="49"/>
      <c r="Q58" s="49"/>
      <c r="R58" s="49"/>
    </row>
    <row r="59" spans="1:18" x14ac:dyDescent="0.25">
      <c r="A59" s="49" t="s">
        <v>4558</v>
      </c>
      <c r="B59" s="103"/>
      <c r="C59" s="49" t="s">
        <v>4432</v>
      </c>
      <c r="D59" s="49" t="s">
        <v>4498</v>
      </c>
      <c r="E59" s="49" t="s">
        <v>4559</v>
      </c>
      <c r="F59" s="154"/>
      <c r="G59" s="113"/>
      <c r="H59" s="39">
        <v>2</v>
      </c>
      <c r="I59" s="114"/>
      <c r="J59" s="154"/>
      <c r="K59" s="49"/>
      <c r="L59" s="49"/>
      <c r="M59" s="49"/>
      <c r="N59" s="49"/>
      <c r="O59" s="49"/>
      <c r="P59" s="49"/>
      <c r="Q59" s="49"/>
      <c r="R59" s="49"/>
    </row>
    <row r="60" spans="1:18" x14ac:dyDescent="0.25">
      <c r="A60" s="49" t="s">
        <v>4560</v>
      </c>
      <c r="B60" s="103"/>
      <c r="C60" s="49" t="s">
        <v>4432</v>
      </c>
      <c r="D60" s="49" t="s">
        <v>4498</v>
      </c>
      <c r="E60" s="49" t="s">
        <v>4561</v>
      </c>
      <c r="F60" s="154"/>
      <c r="G60" s="113"/>
      <c r="H60" s="39">
        <v>3</v>
      </c>
      <c r="I60" s="114"/>
      <c r="J60" s="298"/>
      <c r="K60" s="49"/>
      <c r="L60" s="49"/>
      <c r="M60" s="49"/>
      <c r="N60" s="49"/>
      <c r="O60" s="49"/>
      <c r="P60" s="49"/>
      <c r="Q60" s="49"/>
      <c r="R60" s="49"/>
    </row>
    <row r="61" spans="1:18" x14ac:dyDescent="0.25">
      <c r="A61" s="49" t="s">
        <v>4562</v>
      </c>
      <c r="B61" s="103"/>
      <c r="C61" s="49" t="s">
        <v>4432</v>
      </c>
      <c r="D61" s="49" t="s">
        <v>4498</v>
      </c>
      <c r="E61" s="49" t="s">
        <v>4563</v>
      </c>
      <c r="F61" s="154"/>
      <c r="G61" s="113"/>
      <c r="H61" s="39">
        <v>5</v>
      </c>
      <c r="I61" s="114"/>
      <c r="J61" s="298"/>
      <c r="K61" s="49"/>
      <c r="L61" s="49"/>
      <c r="M61" s="49"/>
      <c r="N61" s="49"/>
      <c r="O61" s="49"/>
      <c r="P61" s="49"/>
      <c r="Q61" s="49"/>
      <c r="R61" s="49"/>
    </row>
    <row r="62" spans="1:18" x14ac:dyDescent="0.25">
      <c r="A62" s="49" t="s">
        <v>4564</v>
      </c>
      <c r="B62" s="103"/>
      <c r="C62" s="49" t="s">
        <v>4432</v>
      </c>
      <c r="D62" s="49"/>
      <c r="E62" s="49" t="s">
        <v>4565</v>
      </c>
      <c r="F62" s="154"/>
      <c r="G62" s="113"/>
      <c r="H62" s="39">
        <v>4</v>
      </c>
      <c r="I62" s="114"/>
      <c r="J62" s="298"/>
      <c r="K62" s="49"/>
      <c r="L62" s="49"/>
      <c r="M62" s="49"/>
      <c r="N62" s="49"/>
      <c r="O62" s="49"/>
      <c r="P62" s="49"/>
      <c r="Q62" s="49"/>
      <c r="R62" s="49"/>
    </row>
    <row r="63" spans="1:18" x14ac:dyDescent="0.25">
      <c r="A63" s="49" t="s">
        <v>4566</v>
      </c>
      <c r="B63" s="103"/>
      <c r="C63" s="49" t="s">
        <v>4432</v>
      </c>
      <c r="D63" s="49"/>
      <c r="E63" s="49" t="s">
        <v>4567</v>
      </c>
      <c r="F63" s="154"/>
      <c r="G63" s="113"/>
      <c r="H63" s="39">
        <v>2</v>
      </c>
      <c r="I63" s="114" t="s">
        <v>64</v>
      </c>
      <c r="J63" s="154"/>
      <c r="K63" s="49"/>
      <c r="L63" s="49"/>
      <c r="M63" s="49"/>
      <c r="N63" s="49"/>
      <c r="O63" s="49"/>
      <c r="P63" s="49"/>
      <c r="Q63" s="49"/>
      <c r="R63" s="49"/>
    </row>
    <row r="64" spans="1:18" x14ac:dyDescent="0.25">
      <c r="A64" s="49" t="s">
        <v>4568</v>
      </c>
      <c r="B64" s="103"/>
      <c r="C64" s="49" t="s">
        <v>4432</v>
      </c>
      <c r="D64" s="49" t="s">
        <v>4480</v>
      </c>
      <c r="E64" s="49" t="s">
        <v>4569</v>
      </c>
      <c r="F64" s="154"/>
      <c r="G64" s="113"/>
      <c r="H64" s="39">
        <v>1</v>
      </c>
      <c r="I64" s="114"/>
      <c r="J64" s="154"/>
      <c r="K64" s="49"/>
      <c r="L64" s="49"/>
      <c r="M64" s="49"/>
      <c r="N64" s="49"/>
      <c r="O64" s="49"/>
      <c r="P64" s="49"/>
      <c r="Q64" s="49"/>
      <c r="R64" s="49"/>
    </row>
    <row r="65" spans="1:18" x14ac:dyDescent="0.25">
      <c r="A65" s="49" t="s">
        <v>4570</v>
      </c>
      <c r="B65" s="103"/>
      <c r="C65" s="49" t="s">
        <v>4432</v>
      </c>
      <c r="D65" s="49"/>
      <c r="E65" s="49" t="s">
        <v>4571</v>
      </c>
      <c r="F65" s="154"/>
      <c r="G65" s="113"/>
      <c r="H65" s="96">
        <v>0</v>
      </c>
      <c r="I65" s="114" t="s">
        <v>1354</v>
      </c>
      <c r="J65" s="154"/>
      <c r="K65" s="49"/>
      <c r="L65" s="49"/>
      <c r="M65" s="49"/>
      <c r="N65" s="49"/>
      <c r="O65" s="49"/>
      <c r="P65" s="49"/>
      <c r="Q65" s="49"/>
      <c r="R65" s="49"/>
    </row>
    <row r="66" spans="1:18" x14ac:dyDescent="0.25">
      <c r="A66" s="49" t="s">
        <v>4572</v>
      </c>
      <c r="B66" s="103"/>
      <c r="C66" s="49" t="s">
        <v>4432</v>
      </c>
      <c r="D66" s="49"/>
      <c r="E66" s="49" t="s">
        <v>4573</v>
      </c>
      <c r="F66" s="154"/>
      <c r="G66" s="113"/>
      <c r="H66" s="39">
        <v>2</v>
      </c>
      <c r="I66" s="114"/>
      <c r="J66" s="154"/>
      <c r="K66" s="49"/>
      <c r="L66" s="49"/>
      <c r="M66" s="49"/>
      <c r="N66" s="49"/>
      <c r="O66" s="49"/>
      <c r="P66" s="49"/>
      <c r="Q66" s="49"/>
      <c r="R66" s="49"/>
    </row>
    <row r="67" spans="1:18" x14ac:dyDescent="0.25">
      <c r="A67" s="49" t="s">
        <v>4574</v>
      </c>
      <c r="B67" s="103"/>
      <c r="C67" s="49" t="s">
        <v>4432</v>
      </c>
      <c r="D67" s="74"/>
      <c r="E67" s="49" t="s">
        <v>4575</v>
      </c>
      <c r="F67" s="112"/>
      <c r="G67" s="113"/>
      <c r="H67" s="39">
        <v>1</v>
      </c>
      <c r="I67" s="114"/>
      <c r="J67" s="154"/>
      <c r="K67" s="49"/>
      <c r="L67" s="49"/>
      <c r="M67" s="49"/>
      <c r="N67" s="49"/>
      <c r="O67" s="49"/>
      <c r="P67" s="49"/>
      <c r="Q67" s="49"/>
      <c r="R67" s="49"/>
    </row>
    <row r="68" spans="1:18" x14ac:dyDescent="0.25">
      <c r="A68" s="49" t="s">
        <v>4576</v>
      </c>
      <c r="B68" s="103"/>
      <c r="C68" s="49" t="s">
        <v>4432</v>
      </c>
      <c r="D68" s="74"/>
      <c r="E68" s="49" t="s">
        <v>4577</v>
      </c>
      <c r="F68" s="112"/>
      <c r="G68" s="113"/>
      <c r="H68" s="39">
        <v>2</v>
      </c>
      <c r="I68" s="114"/>
      <c r="J68" s="154"/>
      <c r="K68" s="49"/>
      <c r="L68" s="49"/>
      <c r="M68" s="49"/>
      <c r="N68" s="49"/>
      <c r="O68" s="49"/>
      <c r="P68" s="49"/>
      <c r="Q68" s="49"/>
      <c r="R68" s="49"/>
    </row>
    <row r="69" spans="1:18" x14ac:dyDescent="0.25">
      <c r="A69" s="49" t="s">
        <v>4578</v>
      </c>
      <c r="B69" s="103"/>
      <c r="C69" s="49" t="s">
        <v>4432</v>
      </c>
      <c r="D69" s="74"/>
      <c r="E69" s="49" t="s">
        <v>4579</v>
      </c>
      <c r="F69" s="112"/>
      <c r="G69" s="113"/>
      <c r="H69" s="39">
        <v>5</v>
      </c>
      <c r="I69" s="114"/>
      <c r="J69" s="154"/>
      <c r="K69" s="49"/>
      <c r="L69" s="49"/>
      <c r="M69" s="49"/>
      <c r="N69" s="49"/>
      <c r="O69" s="49"/>
      <c r="P69" s="49"/>
      <c r="Q69" s="49"/>
      <c r="R69" s="49"/>
    </row>
    <row r="70" spans="1:18" x14ac:dyDescent="0.25">
      <c r="A70" s="49" t="s">
        <v>4580</v>
      </c>
      <c r="B70" s="103"/>
      <c r="C70" s="49" t="s">
        <v>4432</v>
      </c>
      <c r="D70" s="49"/>
      <c r="E70" s="49" t="s">
        <v>4581</v>
      </c>
      <c r="F70" s="112"/>
      <c r="G70" s="113"/>
      <c r="H70" s="39">
        <v>2</v>
      </c>
      <c r="I70" s="114"/>
      <c r="J70" s="298"/>
      <c r="K70" s="49"/>
      <c r="L70" s="49"/>
      <c r="M70" s="49"/>
      <c r="N70" s="49"/>
      <c r="O70" s="49"/>
      <c r="P70" s="49"/>
      <c r="Q70" s="49"/>
      <c r="R70" s="49"/>
    </row>
    <row r="71" spans="1:18" x14ac:dyDescent="0.25">
      <c r="A71" s="49" t="s">
        <v>4582</v>
      </c>
      <c r="B71" s="103"/>
      <c r="C71" s="49" t="s">
        <v>4583</v>
      </c>
      <c r="D71" s="49" t="s">
        <v>4480</v>
      </c>
      <c r="E71" s="49" t="s">
        <v>4584</v>
      </c>
      <c r="F71" s="112"/>
      <c r="G71" s="113"/>
      <c r="H71" s="39">
        <v>12</v>
      </c>
      <c r="I71" s="114" t="s">
        <v>651</v>
      </c>
      <c r="J71" s="298"/>
      <c r="K71" s="49"/>
      <c r="L71" s="49"/>
      <c r="M71" s="49"/>
      <c r="N71" s="49"/>
      <c r="O71" s="49"/>
      <c r="P71" s="49"/>
      <c r="Q71" s="49"/>
      <c r="R71" s="49"/>
    </row>
    <row r="72" spans="1:18" x14ac:dyDescent="0.25">
      <c r="A72" s="49" t="s">
        <v>4585</v>
      </c>
      <c r="B72" s="103"/>
      <c r="C72" s="49" t="s">
        <v>4583</v>
      </c>
      <c r="D72" s="49" t="s">
        <v>4480</v>
      </c>
      <c r="E72" s="49" t="s">
        <v>4586</v>
      </c>
      <c r="F72" s="112"/>
      <c r="G72" s="113"/>
      <c r="H72" s="39">
        <v>8</v>
      </c>
      <c r="I72" s="114"/>
      <c r="J72" s="154"/>
      <c r="K72" s="49"/>
      <c r="L72" s="49"/>
      <c r="M72" s="49"/>
      <c r="N72" s="49"/>
      <c r="O72" s="49"/>
      <c r="P72" s="49"/>
      <c r="Q72" s="49"/>
      <c r="R72" s="49"/>
    </row>
    <row r="73" spans="1:18" x14ac:dyDescent="0.25">
      <c r="A73" s="49" t="s">
        <v>4587</v>
      </c>
      <c r="B73" s="103"/>
      <c r="C73" s="49" t="s">
        <v>4583</v>
      </c>
      <c r="D73" s="49" t="s">
        <v>4480</v>
      </c>
      <c r="E73" s="49" t="s">
        <v>4588</v>
      </c>
      <c r="F73" s="112"/>
      <c r="G73" s="113"/>
      <c r="H73" s="39">
        <v>1</v>
      </c>
      <c r="I73" s="114" t="s">
        <v>4589</v>
      </c>
      <c r="J73" s="298" t="s">
        <v>4590</v>
      </c>
      <c r="K73" s="49"/>
      <c r="L73" s="49"/>
      <c r="M73" s="49"/>
      <c r="N73" s="49"/>
      <c r="O73" s="49"/>
      <c r="P73" s="49"/>
      <c r="Q73" s="49"/>
      <c r="R73" s="49"/>
    </row>
    <row r="74" spans="1:18" s="285" customFormat="1" x14ac:dyDescent="0.25">
      <c r="A74" s="92" t="s">
        <v>4591</v>
      </c>
      <c r="B74" s="93"/>
      <c r="C74" s="92" t="s">
        <v>4583</v>
      </c>
      <c r="D74" s="92" t="s">
        <v>4480</v>
      </c>
      <c r="E74" s="92" t="s">
        <v>4592</v>
      </c>
      <c r="F74" s="94"/>
      <c r="G74" s="95"/>
      <c r="H74" s="96">
        <v>0</v>
      </c>
      <c r="I74" s="301" t="s">
        <v>370</v>
      </c>
      <c r="J74" s="304"/>
      <c r="K74" s="92"/>
      <c r="L74" s="92"/>
      <c r="M74" s="92"/>
      <c r="N74" s="92"/>
      <c r="O74" s="92"/>
      <c r="P74" s="92"/>
      <c r="Q74" s="92"/>
      <c r="R74" s="92"/>
    </row>
    <row r="75" spans="1:18" s="285" customFormat="1" x14ac:dyDescent="0.25">
      <c r="A75" s="92" t="s">
        <v>4593</v>
      </c>
      <c r="B75" s="93"/>
      <c r="C75" s="92" t="s">
        <v>4583</v>
      </c>
      <c r="D75" s="92" t="s">
        <v>4480</v>
      </c>
      <c r="E75" s="92" t="s">
        <v>4594</v>
      </c>
      <c r="F75" s="94"/>
      <c r="G75" s="95"/>
      <c r="H75" s="96">
        <v>0</v>
      </c>
      <c r="I75" s="301" t="s">
        <v>1619</v>
      </c>
      <c r="J75" s="304" t="s">
        <v>219</v>
      </c>
      <c r="K75" s="92"/>
      <c r="L75" s="92"/>
      <c r="M75" s="92"/>
      <c r="N75" s="92"/>
      <c r="O75" s="92"/>
      <c r="P75" s="92"/>
      <c r="Q75" s="92"/>
      <c r="R75" s="92"/>
    </row>
    <row r="76" spans="1:18" x14ac:dyDescent="0.25">
      <c r="A76" s="49" t="s">
        <v>4595</v>
      </c>
      <c r="B76" s="103"/>
      <c r="C76" s="49" t="s">
        <v>4583</v>
      </c>
      <c r="D76" s="49" t="s">
        <v>4480</v>
      </c>
      <c r="E76" s="49" t="s">
        <v>4596</v>
      </c>
      <c r="F76" s="112"/>
      <c r="G76" s="113"/>
      <c r="H76" s="39">
        <v>1</v>
      </c>
      <c r="I76" s="114"/>
      <c r="J76" s="154"/>
      <c r="K76" s="49"/>
      <c r="L76" s="49"/>
      <c r="M76" s="49"/>
      <c r="N76" s="49"/>
      <c r="O76" s="49"/>
      <c r="P76" s="49"/>
      <c r="Q76" s="49"/>
      <c r="R76" s="49"/>
    </row>
    <row r="77" spans="1:18" x14ac:dyDescent="0.25">
      <c r="A77" s="49" t="s">
        <v>4597</v>
      </c>
      <c r="B77" s="103"/>
      <c r="C77" s="49" t="s">
        <v>4583</v>
      </c>
      <c r="D77" s="74" t="s">
        <v>4469</v>
      </c>
      <c r="E77" s="49" t="s">
        <v>4598</v>
      </c>
      <c r="F77" s="112"/>
      <c r="G77" s="113"/>
      <c r="H77" s="39">
        <v>2</v>
      </c>
      <c r="I77" s="303"/>
      <c r="J77" s="154"/>
      <c r="K77" s="49"/>
      <c r="L77" s="49"/>
      <c r="M77" s="49"/>
      <c r="N77" s="49"/>
      <c r="O77" s="49"/>
      <c r="P77" s="49"/>
      <c r="Q77" s="49"/>
      <c r="R77" s="49"/>
    </row>
    <row r="78" spans="1:18" x14ac:dyDescent="0.25">
      <c r="A78" s="49" t="s">
        <v>4599</v>
      </c>
      <c r="B78" s="103"/>
      <c r="C78" s="49" t="s">
        <v>4583</v>
      </c>
      <c r="D78" s="74" t="s">
        <v>4469</v>
      </c>
      <c r="E78" s="49" t="s">
        <v>4600</v>
      </c>
      <c r="F78" s="112"/>
      <c r="G78" s="113"/>
      <c r="H78" s="39">
        <v>3</v>
      </c>
      <c r="I78" s="114"/>
      <c r="J78" s="154"/>
      <c r="K78" s="49"/>
      <c r="L78" s="49"/>
      <c r="M78" s="49"/>
      <c r="N78" s="49"/>
      <c r="O78" s="49"/>
      <c r="P78" s="49"/>
      <c r="Q78" s="49"/>
      <c r="R78" s="49"/>
    </row>
    <row r="79" spans="1:18" x14ac:dyDescent="0.25">
      <c r="A79" s="49" t="s">
        <v>4601</v>
      </c>
      <c r="B79" s="103"/>
      <c r="C79" s="49" t="s">
        <v>4583</v>
      </c>
      <c r="D79" s="49" t="s">
        <v>4469</v>
      </c>
      <c r="E79" s="49" t="s">
        <v>4602</v>
      </c>
      <c r="F79" s="112"/>
      <c r="G79" s="113"/>
      <c r="H79" s="39">
        <v>3</v>
      </c>
      <c r="I79" s="303"/>
      <c r="J79" s="154"/>
      <c r="K79" s="49"/>
      <c r="L79" s="49"/>
      <c r="M79" s="49"/>
      <c r="N79" s="49"/>
      <c r="O79" s="49"/>
      <c r="P79" s="49"/>
      <c r="Q79" s="49"/>
      <c r="R79" s="49"/>
    </row>
    <row r="80" spans="1:18" x14ac:dyDescent="0.25">
      <c r="A80" s="49" t="s">
        <v>4603</v>
      </c>
      <c r="B80" s="103"/>
      <c r="C80" s="49" t="s">
        <v>4583</v>
      </c>
      <c r="D80" s="49" t="s">
        <v>4469</v>
      </c>
      <c r="E80" s="49" t="s">
        <v>4604</v>
      </c>
      <c r="F80" s="112"/>
      <c r="G80" s="113"/>
      <c r="H80" s="39">
        <v>3</v>
      </c>
      <c r="I80" s="303"/>
      <c r="J80" s="154"/>
      <c r="K80" s="49"/>
      <c r="L80" s="49"/>
      <c r="M80" s="49"/>
      <c r="N80" s="49"/>
      <c r="O80" s="49"/>
      <c r="P80" s="49"/>
      <c r="Q80" s="49"/>
      <c r="R80" s="49"/>
    </row>
    <row r="81" spans="1:18" s="285" customFormat="1" x14ac:dyDescent="0.25">
      <c r="A81" s="92" t="s">
        <v>4605</v>
      </c>
      <c r="B81" s="93"/>
      <c r="C81" s="92" t="s">
        <v>4583</v>
      </c>
      <c r="D81" s="92"/>
      <c r="E81" s="92" t="s">
        <v>4606</v>
      </c>
      <c r="F81" s="94"/>
      <c r="G81" s="95"/>
      <c r="H81" s="96">
        <v>0</v>
      </c>
      <c r="I81" s="301" t="s">
        <v>2601</v>
      </c>
      <c r="J81" s="302" t="s">
        <v>267</v>
      </c>
      <c r="K81" s="92" t="s">
        <v>485</v>
      </c>
      <c r="L81" s="92"/>
      <c r="M81" s="92"/>
      <c r="N81" s="92"/>
      <c r="O81" s="92"/>
      <c r="P81" s="92"/>
      <c r="Q81" s="92"/>
      <c r="R81" s="92"/>
    </row>
    <row r="82" spans="1:18" s="285" customFormat="1" x14ac:dyDescent="0.25">
      <c r="A82" s="92" t="s">
        <v>4607</v>
      </c>
      <c r="B82" s="93"/>
      <c r="C82" s="92" t="s">
        <v>4583</v>
      </c>
      <c r="D82" s="92"/>
      <c r="E82" s="92" t="s">
        <v>4608</v>
      </c>
      <c r="F82" s="94"/>
      <c r="G82" s="95"/>
      <c r="H82" s="96">
        <v>0</v>
      </c>
      <c r="I82" s="301" t="s">
        <v>485</v>
      </c>
      <c r="J82" s="302"/>
      <c r="K82" s="92"/>
      <c r="L82" s="92"/>
      <c r="M82" s="92"/>
      <c r="N82" s="92"/>
      <c r="O82" s="92"/>
      <c r="P82" s="92"/>
      <c r="Q82" s="92"/>
      <c r="R82" s="300"/>
    </row>
    <row r="83" spans="1:18" x14ac:dyDescent="0.25">
      <c r="A83" s="49" t="s">
        <v>4609</v>
      </c>
      <c r="B83" s="103"/>
      <c r="C83" s="49" t="s">
        <v>4583</v>
      </c>
      <c r="D83" s="49"/>
      <c r="E83" s="49" t="s">
        <v>4610</v>
      </c>
      <c r="F83" s="112"/>
      <c r="G83" s="113"/>
      <c r="H83" s="96">
        <v>0</v>
      </c>
      <c r="I83" s="114" t="s">
        <v>1244</v>
      </c>
      <c r="J83" s="154"/>
      <c r="K83" s="49"/>
      <c r="L83" s="49"/>
      <c r="M83" s="49"/>
      <c r="N83" s="49"/>
      <c r="O83" s="49"/>
      <c r="P83" s="49"/>
      <c r="Q83" s="49"/>
      <c r="R83" s="49"/>
    </row>
    <row r="84" spans="1:18" x14ac:dyDescent="0.25">
      <c r="A84" s="49" t="s">
        <v>4611</v>
      </c>
      <c r="B84" s="103"/>
      <c r="C84" s="49" t="s">
        <v>4583</v>
      </c>
      <c r="D84" s="49"/>
      <c r="E84" s="49" t="s">
        <v>4612</v>
      </c>
      <c r="F84" s="112"/>
      <c r="G84" s="113"/>
      <c r="H84" s="39">
        <v>1</v>
      </c>
      <c r="I84" s="114" t="s">
        <v>4613</v>
      </c>
      <c r="J84" s="154"/>
      <c r="K84" s="49"/>
      <c r="L84" s="49"/>
      <c r="M84" s="49"/>
      <c r="N84" s="49"/>
      <c r="O84" s="49"/>
      <c r="P84" s="49"/>
      <c r="Q84" s="49"/>
      <c r="R84" s="49"/>
    </row>
    <row r="85" spans="1:18" x14ac:dyDescent="0.25">
      <c r="A85" s="49" t="s">
        <v>4614</v>
      </c>
      <c r="B85" s="103"/>
      <c r="C85" s="49" t="s">
        <v>4583</v>
      </c>
      <c r="D85" s="49"/>
      <c r="E85" s="49" t="s">
        <v>4615</v>
      </c>
      <c r="F85" s="112"/>
      <c r="G85" s="113"/>
      <c r="H85" s="39">
        <v>0</v>
      </c>
      <c r="I85" s="114" t="s">
        <v>48</v>
      </c>
      <c r="J85" s="154" t="s">
        <v>3302</v>
      </c>
      <c r="K85" s="49"/>
      <c r="L85" s="49"/>
      <c r="M85" s="49"/>
      <c r="N85" s="49"/>
      <c r="O85" s="49"/>
      <c r="P85" s="49"/>
      <c r="Q85" s="49"/>
      <c r="R85" s="49"/>
    </row>
    <row r="86" spans="1:18" x14ac:dyDescent="0.25">
      <c r="A86" s="49" t="s">
        <v>4616</v>
      </c>
      <c r="B86" s="103"/>
      <c r="C86" s="49" t="s">
        <v>4583</v>
      </c>
      <c r="D86" s="49"/>
      <c r="E86" s="49" t="s">
        <v>4617</v>
      </c>
      <c r="F86" s="112"/>
      <c r="G86" s="113"/>
      <c r="H86" s="39">
        <v>1</v>
      </c>
      <c r="I86" s="114"/>
      <c r="J86" s="154"/>
      <c r="K86" s="49"/>
      <c r="L86" s="49"/>
      <c r="M86" s="49"/>
      <c r="N86" s="49"/>
      <c r="O86" s="49"/>
      <c r="P86" s="49"/>
      <c r="Q86" s="49"/>
      <c r="R86" s="49"/>
    </row>
    <row r="87" spans="1:18" x14ac:dyDescent="0.25">
      <c r="A87" s="49" t="s">
        <v>4618</v>
      </c>
      <c r="B87" s="103"/>
      <c r="C87" s="49" t="s">
        <v>4505</v>
      </c>
      <c r="D87" s="49" t="s">
        <v>4480</v>
      </c>
      <c r="E87" s="49" t="s">
        <v>4619</v>
      </c>
      <c r="F87" s="112"/>
      <c r="G87" s="113"/>
      <c r="H87" s="39">
        <v>4</v>
      </c>
      <c r="I87" s="114" t="s">
        <v>1619</v>
      </c>
      <c r="J87" s="154"/>
      <c r="K87" s="49"/>
      <c r="L87" s="49"/>
      <c r="M87" s="49"/>
      <c r="N87" s="49"/>
      <c r="O87" s="49"/>
      <c r="P87" s="49"/>
      <c r="Q87" s="49"/>
      <c r="R87" s="49"/>
    </row>
    <row r="88" spans="1:18" x14ac:dyDescent="0.25">
      <c r="A88" s="49" t="s">
        <v>4620</v>
      </c>
      <c r="B88" s="103"/>
      <c r="C88" s="49" t="s">
        <v>4505</v>
      </c>
      <c r="D88" s="49" t="s">
        <v>4480</v>
      </c>
      <c r="E88" s="49" t="s">
        <v>4621</v>
      </c>
      <c r="F88" s="112"/>
      <c r="G88" s="113"/>
      <c r="H88" s="39">
        <v>5</v>
      </c>
      <c r="I88" s="114"/>
      <c r="J88" s="154"/>
      <c r="K88" s="49"/>
      <c r="L88" s="49"/>
      <c r="M88" s="49"/>
      <c r="N88" s="49"/>
      <c r="O88" s="49"/>
      <c r="P88" s="49"/>
      <c r="Q88" s="49"/>
      <c r="R88" s="49"/>
    </row>
    <row r="89" spans="1:18" x14ac:dyDescent="0.25">
      <c r="A89" s="49" t="s">
        <v>4622</v>
      </c>
      <c r="B89" s="103"/>
      <c r="C89" s="49" t="s">
        <v>4505</v>
      </c>
      <c r="D89" s="49" t="s">
        <v>4480</v>
      </c>
      <c r="E89" s="49" t="s">
        <v>4623</v>
      </c>
      <c r="F89" s="112"/>
      <c r="G89" s="113"/>
      <c r="H89" s="39">
        <v>6</v>
      </c>
      <c r="I89" s="114" t="s">
        <v>844</v>
      </c>
      <c r="J89" s="154" t="s">
        <v>2608</v>
      </c>
      <c r="K89" s="49" t="s">
        <v>135</v>
      </c>
      <c r="L89" s="49"/>
      <c r="M89" s="49"/>
      <c r="N89" s="49"/>
      <c r="O89" s="49"/>
      <c r="P89" s="49"/>
      <c r="Q89" s="49"/>
      <c r="R89" s="49"/>
    </row>
    <row r="90" spans="1:18" x14ac:dyDescent="0.25">
      <c r="A90" s="49" t="s">
        <v>4624</v>
      </c>
      <c r="B90" s="103"/>
      <c r="C90" s="49" t="s">
        <v>4505</v>
      </c>
      <c r="D90" s="49" t="s">
        <v>4480</v>
      </c>
      <c r="E90" s="49" t="s">
        <v>4625</v>
      </c>
      <c r="F90" s="112"/>
      <c r="G90" s="113"/>
      <c r="H90" s="39">
        <v>9</v>
      </c>
      <c r="I90" s="114" t="s">
        <v>1773</v>
      </c>
      <c r="J90" s="154" t="s">
        <v>4626</v>
      </c>
      <c r="K90" s="49"/>
      <c r="L90" s="49"/>
      <c r="M90" s="49"/>
      <c r="N90" s="49"/>
      <c r="O90" s="49"/>
      <c r="P90" s="49"/>
      <c r="Q90" s="49"/>
      <c r="R90" s="49"/>
    </row>
    <row r="91" spans="1:18" x14ac:dyDescent="0.25">
      <c r="A91" s="49" t="s">
        <v>4627</v>
      </c>
      <c r="B91" s="103"/>
      <c r="C91" s="49" t="s">
        <v>4583</v>
      </c>
      <c r="D91" s="49" t="s">
        <v>4433</v>
      </c>
      <c r="E91" s="49" t="s">
        <v>4628</v>
      </c>
      <c r="F91" s="154"/>
      <c r="G91" s="113"/>
      <c r="H91" s="39">
        <v>3</v>
      </c>
      <c r="I91" s="114" t="s">
        <v>370</v>
      </c>
      <c r="J91" s="154"/>
      <c r="K91" s="49"/>
      <c r="L91" s="49"/>
      <c r="M91" s="49"/>
      <c r="N91" s="49"/>
      <c r="O91" s="49"/>
      <c r="P91" s="49"/>
      <c r="Q91" s="49"/>
      <c r="R91" s="49"/>
    </row>
    <row r="92" spans="1:18" x14ac:dyDescent="0.25">
      <c r="A92" s="49" t="s">
        <v>4629</v>
      </c>
      <c r="B92" s="103"/>
      <c r="C92" s="49" t="s">
        <v>4583</v>
      </c>
      <c r="D92" s="49" t="s">
        <v>4433</v>
      </c>
      <c r="E92" s="49" t="s">
        <v>4630</v>
      </c>
      <c r="F92" s="154"/>
      <c r="G92" s="113"/>
      <c r="H92" s="39">
        <v>2</v>
      </c>
      <c r="I92" s="114"/>
      <c r="J92" s="154"/>
      <c r="K92" s="49"/>
      <c r="L92" s="49"/>
      <c r="M92" s="49"/>
      <c r="N92" s="49"/>
      <c r="O92" s="49"/>
      <c r="P92" s="49"/>
      <c r="Q92" s="49"/>
      <c r="R92" s="49"/>
    </row>
    <row r="93" spans="1:18" x14ac:dyDescent="0.25">
      <c r="A93" s="49" t="s">
        <v>4631</v>
      </c>
      <c r="B93" s="103"/>
      <c r="C93" s="49" t="s">
        <v>4583</v>
      </c>
      <c r="D93" s="49" t="s">
        <v>4433</v>
      </c>
      <c r="E93" s="49" t="s">
        <v>4632</v>
      </c>
      <c r="F93" s="154"/>
      <c r="G93" s="113"/>
      <c r="H93" s="39">
        <v>2</v>
      </c>
      <c r="I93" s="114"/>
      <c r="J93" s="154"/>
      <c r="K93" s="49"/>
      <c r="L93" s="49"/>
      <c r="M93" s="49"/>
      <c r="N93" s="49"/>
      <c r="O93" s="49"/>
      <c r="P93" s="49"/>
      <c r="Q93" s="49"/>
      <c r="R93" s="49"/>
    </row>
    <row r="94" spans="1:18" x14ac:dyDescent="0.25">
      <c r="A94" s="49" t="s">
        <v>4633</v>
      </c>
      <c r="B94" s="103"/>
      <c r="C94" s="49" t="s">
        <v>4583</v>
      </c>
      <c r="D94" s="49" t="s">
        <v>4433</v>
      </c>
      <c r="E94" s="49" t="s">
        <v>4634</v>
      </c>
      <c r="F94" s="154"/>
      <c r="G94" s="113"/>
      <c r="H94" s="39">
        <v>7</v>
      </c>
      <c r="I94" s="114" t="s">
        <v>1303</v>
      </c>
      <c r="J94" s="154" t="s">
        <v>4613</v>
      </c>
      <c r="K94" s="49"/>
      <c r="L94" s="49"/>
      <c r="M94" s="49"/>
      <c r="N94" s="49"/>
      <c r="O94" s="49"/>
      <c r="P94" s="49"/>
      <c r="Q94" s="49"/>
      <c r="R94" s="49"/>
    </row>
    <row r="95" spans="1:18" x14ac:dyDescent="0.25">
      <c r="A95" s="49" t="s">
        <v>4635</v>
      </c>
      <c r="B95" s="103"/>
      <c r="C95" s="49" t="s">
        <v>4583</v>
      </c>
      <c r="D95" s="49" t="s">
        <v>4433</v>
      </c>
      <c r="E95" s="49" t="s">
        <v>4636</v>
      </c>
      <c r="F95" s="154"/>
      <c r="G95" s="113"/>
      <c r="H95" s="39">
        <v>4</v>
      </c>
      <c r="I95" s="114" t="s">
        <v>4637</v>
      </c>
      <c r="J95" s="154" t="s">
        <v>1304</v>
      </c>
      <c r="K95" s="49" t="s">
        <v>4613</v>
      </c>
      <c r="L95" s="49"/>
      <c r="M95" s="49"/>
      <c r="N95" s="49"/>
      <c r="O95" s="49"/>
      <c r="P95" s="49"/>
      <c r="Q95" s="49"/>
      <c r="R95" s="49"/>
    </row>
    <row r="96" spans="1:18" x14ac:dyDescent="0.25">
      <c r="A96" s="49" t="s">
        <v>4638</v>
      </c>
      <c r="B96" s="103"/>
      <c r="C96" s="49" t="s">
        <v>4583</v>
      </c>
      <c r="D96" s="49" t="s">
        <v>4433</v>
      </c>
      <c r="E96" s="49" t="s">
        <v>4639</v>
      </c>
      <c r="F96" s="154"/>
      <c r="G96" s="113"/>
      <c r="H96" s="39">
        <v>1</v>
      </c>
      <c r="I96" s="114" t="s">
        <v>4640</v>
      </c>
      <c r="J96" s="154" t="s">
        <v>266</v>
      </c>
      <c r="K96" s="49" t="s">
        <v>1799</v>
      </c>
      <c r="L96" s="49" t="s">
        <v>4641</v>
      </c>
      <c r="M96" s="49" t="s">
        <v>553</v>
      </c>
      <c r="N96" s="49" t="s">
        <v>735</v>
      </c>
      <c r="O96" s="49"/>
      <c r="P96" s="49"/>
      <c r="Q96" s="49"/>
      <c r="R96" s="49"/>
    </row>
    <row r="97" spans="1:18" x14ac:dyDescent="0.25">
      <c r="A97" s="49" t="s">
        <v>4642</v>
      </c>
      <c r="B97" s="103"/>
      <c r="C97" s="49" t="s">
        <v>4583</v>
      </c>
      <c r="D97" s="49" t="s">
        <v>4643</v>
      </c>
      <c r="E97" s="49" t="s">
        <v>4644</v>
      </c>
      <c r="F97" s="112"/>
      <c r="G97" s="113"/>
      <c r="H97" s="39">
        <v>2</v>
      </c>
      <c r="I97" s="114"/>
      <c r="J97" s="154"/>
      <c r="K97" s="49"/>
      <c r="L97" s="49"/>
      <c r="M97" s="49"/>
      <c r="N97" s="49"/>
      <c r="O97" s="49"/>
      <c r="P97" s="49"/>
      <c r="Q97" s="49"/>
      <c r="R97" s="49"/>
    </row>
    <row r="98" spans="1:18" x14ac:dyDescent="0.25">
      <c r="A98" s="49" t="s">
        <v>4645</v>
      </c>
      <c r="B98" s="103"/>
      <c r="C98" s="49" t="s">
        <v>4646</v>
      </c>
      <c r="D98" s="49" t="s">
        <v>4433</v>
      </c>
      <c r="E98" s="49" t="s">
        <v>4647</v>
      </c>
      <c r="F98" s="112"/>
      <c r="G98" s="113"/>
      <c r="H98" s="39">
        <v>5</v>
      </c>
      <c r="I98" s="114" t="s">
        <v>599</v>
      </c>
      <c r="J98" s="154"/>
      <c r="K98" s="49"/>
      <c r="L98" s="49"/>
      <c r="M98" s="49"/>
      <c r="N98" s="49"/>
      <c r="O98" s="49"/>
      <c r="P98" s="49"/>
      <c r="Q98" s="49"/>
      <c r="R98" s="49"/>
    </row>
    <row r="99" spans="1:18" x14ac:dyDescent="0.25">
      <c r="A99" s="49" t="s">
        <v>4648</v>
      </c>
      <c r="B99" s="103"/>
      <c r="C99" s="101" t="s">
        <v>4649</v>
      </c>
      <c r="D99" s="49" t="s">
        <v>4643</v>
      </c>
      <c r="E99" s="49" t="s">
        <v>4650</v>
      </c>
      <c r="F99" s="154"/>
      <c r="G99" s="113"/>
      <c r="H99" s="39">
        <v>5</v>
      </c>
      <c r="I99" s="114" t="s">
        <v>553</v>
      </c>
      <c r="J99" s="154"/>
      <c r="K99" s="49"/>
      <c r="L99" s="49"/>
      <c r="M99" s="49"/>
      <c r="N99" s="49"/>
      <c r="O99" s="49"/>
      <c r="P99" s="49"/>
      <c r="Q99" s="49"/>
      <c r="R99" s="49"/>
    </row>
    <row r="100" spans="1:18" x14ac:dyDescent="0.25">
      <c r="A100" s="49" t="s">
        <v>4651</v>
      </c>
      <c r="B100" s="103"/>
      <c r="C100" s="49" t="s">
        <v>4649</v>
      </c>
      <c r="D100" s="49" t="s">
        <v>4643</v>
      </c>
      <c r="E100" s="49" t="s">
        <v>4652</v>
      </c>
      <c r="F100" s="112"/>
      <c r="G100" s="113"/>
      <c r="H100" s="39">
        <v>3</v>
      </c>
      <c r="I100" s="114" t="s">
        <v>4653</v>
      </c>
      <c r="J100" s="154"/>
      <c r="K100" s="49"/>
      <c r="L100" s="49"/>
      <c r="M100" s="49"/>
      <c r="N100" s="49"/>
      <c r="O100" s="49"/>
      <c r="P100" s="49"/>
      <c r="Q100" s="49"/>
      <c r="R100" s="49"/>
    </row>
    <row r="101" spans="1:18" x14ac:dyDescent="0.25">
      <c r="A101" s="49" t="s">
        <v>4654</v>
      </c>
      <c r="B101" s="103"/>
      <c r="C101" s="49" t="s">
        <v>4655</v>
      </c>
      <c r="D101" s="49" t="s">
        <v>4480</v>
      </c>
      <c r="E101" s="49" t="s">
        <v>4656</v>
      </c>
      <c r="F101" s="112"/>
      <c r="G101" s="113"/>
      <c r="H101" s="96">
        <v>0</v>
      </c>
      <c r="I101" s="114" t="s">
        <v>3864</v>
      </c>
      <c r="J101" s="154"/>
      <c r="K101" s="49"/>
      <c r="L101" s="49"/>
      <c r="M101" s="49"/>
      <c r="N101" s="49"/>
      <c r="O101" s="49"/>
      <c r="P101" s="49"/>
      <c r="Q101" s="49"/>
      <c r="R101" s="49"/>
    </row>
    <row r="102" spans="1:18" x14ac:dyDescent="0.25">
      <c r="A102" s="49" t="s">
        <v>4657</v>
      </c>
      <c r="B102" s="103"/>
      <c r="C102" s="49" t="s">
        <v>4655</v>
      </c>
      <c r="D102" s="49" t="s">
        <v>4480</v>
      </c>
      <c r="E102" s="49" t="s">
        <v>4658</v>
      </c>
      <c r="F102" s="112"/>
      <c r="G102" s="113"/>
      <c r="H102" s="96">
        <v>0</v>
      </c>
      <c r="I102" s="114" t="s">
        <v>2454</v>
      </c>
      <c r="J102" s="154"/>
      <c r="K102" s="49"/>
      <c r="L102" s="49"/>
      <c r="M102" s="49"/>
      <c r="N102" s="49"/>
      <c r="O102" s="49"/>
      <c r="P102" s="49"/>
      <c r="Q102" s="49"/>
      <c r="R102" s="49"/>
    </row>
    <row r="103" spans="1:18" x14ac:dyDescent="0.25">
      <c r="A103" s="49" t="s">
        <v>4659</v>
      </c>
      <c r="B103" s="103"/>
      <c r="C103" s="49" t="s">
        <v>4660</v>
      </c>
      <c r="D103" s="49" t="s">
        <v>4466</v>
      </c>
      <c r="E103" s="49" t="s">
        <v>4661</v>
      </c>
      <c r="F103" s="112"/>
      <c r="G103" s="113"/>
      <c r="H103" s="39">
        <v>6</v>
      </c>
      <c r="I103" s="114" t="s">
        <v>158</v>
      </c>
      <c r="J103" s="154" t="s">
        <v>4662</v>
      </c>
      <c r="K103" s="49"/>
      <c r="L103" s="49"/>
      <c r="M103" s="49"/>
      <c r="N103" s="49"/>
      <c r="O103" s="49"/>
      <c r="P103" s="49"/>
      <c r="Q103" s="49"/>
      <c r="R103" s="49"/>
    </row>
    <row r="104" spans="1:18" x14ac:dyDescent="0.25">
      <c r="A104" s="49" t="s">
        <v>4663</v>
      </c>
      <c r="B104" s="103"/>
      <c r="C104" s="49" t="s">
        <v>4649</v>
      </c>
      <c r="D104" s="49" t="s">
        <v>4664</v>
      </c>
      <c r="E104" s="49" t="s">
        <v>4665</v>
      </c>
      <c r="F104" s="112"/>
      <c r="G104" s="113"/>
      <c r="H104" s="39">
        <v>48</v>
      </c>
      <c r="I104" s="114"/>
      <c r="J104" s="154"/>
      <c r="K104" s="49"/>
      <c r="L104" s="49"/>
      <c r="M104" s="49"/>
      <c r="N104" s="49"/>
      <c r="O104" s="49"/>
      <c r="P104" s="49"/>
      <c r="Q104" s="49"/>
      <c r="R104" s="49"/>
    </row>
    <row r="105" spans="1:18" x14ac:dyDescent="0.25">
      <c r="A105" s="49" t="s">
        <v>4666</v>
      </c>
      <c r="B105" s="103"/>
      <c r="C105" s="49" t="s">
        <v>4660</v>
      </c>
      <c r="D105" s="49" t="s">
        <v>4466</v>
      </c>
      <c r="E105" s="49" t="s">
        <v>4667</v>
      </c>
      <c r="F105" s="112"/>
      <c r="G105" s="113"/>
      <c r="H105" s="39">
        <v>2</v>
      </c>
      <c r="I105" s="114"/>
      <c r="J105" s="154"/>
      <c r="K105" s="49"/>
      <c r="L105" s="49"/>
      <c r="M105" s="49"/>
      <c r="N105" s="49"/>
      <c r="O105" s="49"/>
      <c r="P105" s="49"/>
      <c r="Q105" s="49"/>
      <c r="R105" s="49"/>
    </row>
    <row r="106" spans="1:18" x14ac:dyDescent="0.25">
      <c r="A106" s="49">
        <v>9305</v>
      </c>
      <c r="B106" s="103"/>
      <c r="C106" s="101" t="s">
        <v>4668</v>
      </c>
      <c r="D106" s="49"/>
      <c r="E106" s="49" t="s">
        <v>4669</v>
      </c>
      <c r="F106" s="154"/>
      <c r="G106" s="113"/>
      <c r="H106" s="39">
        <v>1</v>
      </c>
      <c r="I106" s="114"/>
      <c r="J106" s="154"/>
      <c r="K106" s="49"/>
      <c r="L106" s="49"/>
      <c r="M106" s="49"/>
      <c r="N106" s="49"/>
      <c r="O106" s="49"/>
      <c r="P106" s="49"/>
      <c r="Q106" s="49"/>
      <c r="R106" s="49"/>
    </row>
    <row r="107" spans="1:18" x14ac:dyDescent="0.25">
      <c r="A107" s="49" t="s">
        <v>4670</v>
      </c>
      <c r="B107" s="103"/>
      <c r="C107" s="49" t="s">
        <v>4649</v>
      </c>
      <c r="D107" s="74"/>
      <c r="E107" s="49" t="s">
        <v>4671</v>
      </c>
      <c r="F107" s="112"/>
      <c r="G107" s="113"/>
      <c r="H107" s="39">
        <v>350</v>
      </c>
      <c r="I107" s="114"/>
      <c r="J107" s="154"/>
      <c r="K107" s="49"/>
      <c r="L107" s="49"/>
      <c r="M107" s="305"/>
      <c r="N107" s="299"/>
      <c r="O107" s="49"/>
      <c r="P107" s="49"/>
      <c r="Q107" s="49"/>
      <c r="R107" s="49"/>
    </row>
    <row r="108" spans="1:18" x14ac:dyDescent="0.25">
      <c r="A108" s="49" t="s">
        <v>4672</v>
      </c>
      <c r="B108" s="103"/>
      <c r="C108" s="101" t="s">
        <v>4673</v>
      </c>
      <c r="D108" s="101" t="s">
        <v>4673</v>
      </c>
      <c r="E108" s="49" t="s">
        <v>4674</v>
      </c>
      <c r="F108" s="154"/>
      <c r="G108" s="113"/>
      <c r="H108" s="39">
        <v>4</v>
      </c>
      <c r="I108" s="114"/>
      <c r="J108" s="154"/>
      <c r="K108" s="49"/>
      <c r="L108" s="49"/>
      <c r="M108" s="49"/>
      <c r="N108" s="49"/>
      <c r="O108" s="49"/>
      <c r="P108" s="49"/>
      <c r="Q108" s="49"/>
      <c r="R108" s="49"/>
    </row>
    <row r="109" spans="1:18" x14ac:dyDescent="0.25">
      <c r="A109" s="49" t="s">
        <v>4675</v>
      </c>
      <c r="B109" s="103"/>
      <c r="C109" s="101" t="s">
        <v>4673</v>
      </c>
      <c r="D109" s="101" t="s">
        <v>4673</v>
      </c>
      <c r="E109" s="49" t="s">
        <v>4676</v>
      </c>
      <c r="F109" s="154"/>
      <c r="G109" s="306"/>
      <c r="H109" s="39">
        <v>50</v>
      </c>
      <c r="I109" s="114"/>
      <c r="J109" s="154"/>
      <c r="K109" s="49"/>
      <c r="L109" s="49"/>
      <c r="M109" s="49"/>
      <c r="N109" s="49"/>
      <c r="O109" s="49"/>
      <c r="P109" s="49"/>
      <c r="Q109" s="49"/>
      <c r="R109" s="49"/>
    </row>
    <row r="110" spans="1:18" x14ac:dyDescent="0.25">
      <c r="A110" s="49" t="s">
        <v>4677</v>
      </c>
      <c r="B110" s="103"/>
      <c r="C110" s="101" t="s">
        <v>4678</v>
      </c>
      <c r="D110" s="49" t="s">
        <v>4498</v>
      </c>
      <c r="E110" s="49" t="s">
        <v>4679</v>
      </c>
      <c r="F110" s="154"/>
      <c r="G110" s="306"/>
      <c r="H110" s="96">
        <v>0</v>
      </c>
      <c r="I110" s="114" t="s">
        <v>170</v>
      </c>
      <c r="J110" s="154"/>
      <c r="K110" s="49"/>
      <c r="L110" s="49"/>
      <c r="M110" s="49"/>
      <c r="N110" s="49"/>
      <c r="O110" s="49"/>
      <c r="P110" s="49"/>
      <c r="Q110" s="49"/>
      <c r="R110" s="49"/>
    </row>
    <row r="111" spans="1:18" x14ac:dyDescent="0.25">
      <c r="A111" s="49" t="s">
        <v>4680</v>
      </c>
      <c r="B111" s="103"/>
      <c r="C111" s="101" t="s">
        <v>4678</v>
      </c>
      <c r="D111" s="49" t="s">
        <v>4498</v>
      </c>
      <c r="E111" s="49" t="s">
        <v>4681</v>
      </c>
      <c r="F111" s="154"/>
      <c r="G111" s="49"/>
      <c r="H111" s="96">
        <v>0</v>
      </c>
      <c r="I111" s="114" t="s">
        <v>1323</v>
      </c>
      <c r="J111" s="154"/>
      <c r="K111" s="49"/>
      <c r="L111" s="49"/>
      <c r="M111" s="49"/>
      <c r="N111" s="49"/>
      <c r="O111" s="49"/>
      <c r="P111" s="49"/>
      <c r="Q111" s="49"/>
      <c r="R111" s="49"/>
    </row>
    <row r="112" spans="1:18" x14ac:dyDescent="0.25">
      <c r="A112" s="49" t="s">
        <v>4682</v>
      </c>
      <c r="B112" s="103"/>
      <c r="C112" s="101" t="s">
        <v>4432</v>
      </c>
      <c r="D112" s="49"/>
      <c r="E112" s="49" t="s">
        <v>4683</v>
      </c>
      <c r="F112" s="154"/>
      <c r="G112" s="49"/>
      <c r="H112" s="39">
        <v>0</v>
      </c>
      <c r="I112" s="114" t="s">
        <v>485</v>
      </c>
      <c r="J112" s="154" t="s">
        <v>806</v>
      </c>
      <c r="K112" s="154"/>
      <c r="L112" s="49"/>
      <c r="M112" s="49"/>
      <c r="N112" s="49"/>
      <c r="O112" s="49"/>
      <c r="P112" s="49"/>
      <c r="Q112" s="49"/>
      <c r="R112" s="49"/>
    </row>
    <row r="113" spans="1:18" x14ac:dyDescent="0.25">
      <c r="A113" s="49" t="s">
        <v>4684</v>
      </c>
      <c r="B113" s="103"/>
      <c r="C113" s="101" t="s">
        <v>4432</v>
      </c>
      <c r="D113" s="49" t="s">
        <v>4469</v>
      </c>
      <c r="E113" s="49" t="s">
        <v>4685</v>
      </c>
      <c r="F113" s="154"/>
      <c r="G113" s="49"/>
      <c r="H113" s="39">
        <v>1</v>
      </c>
      <c r="I113" s="114"/>
      <c r="J113" s="154"/>
      <c r="K113" s="154"/>
      <c r="L113" s="49"/>
      <c r="M113" s="49"/>
      <c r="N113" s="49"/>
      <c r="O113" s="49"/>
      <c r="P113" s="49"/>
      <c r="Q113" s="49"/>
      <c r="R113" s="49"/>
    </row>
    <row r="114" spans="1:18" x14ac:dyDescent="0.25">
      <c r="A114" s="49" t="s">
        <v>4686</v>
      </c>
      <c r="B114" s="103"/>
      <c r="C114" s="101" t="s">
        <v>4432</v>
      </c>
      <c r="D114" s="49" t="s">
        <v>4469</v>
      </c>
      <c r="E114" s="49" t="s">
        <v>4687</v>
      </c>
      <c r="F114" s="154"/>
      <c r="G114" s="49"/>
      <c r="H114" s="39">
        <v>1</v>
      </c>
      <c r="I114" s="114"/>
      <c r="J114" s="154"/>
      <c r="K114" s="154"/>
      <c r="L114" s="49"/>
      <c r="M114" s="49"/>
      <c r="N114" s="49"/>
      <c r="O114" s="49"/>
      <c r="P114" s="49"/>
      <c r="Q114" s="49"/>
      <c r="R114" s="49"/>
    </row>
    <row r="115" spans="1:18" x14ac:dyDescent="0.25">
      <c r="A115" s="49" t="s">
        <v>4688</v>
      </c>
      <c r="B115" s="103"/>
      <c r="C115" s="101" t="s">
        <v>4432</v>
      </c>
      <c r="D115" s="49" t="s">
        <v>4469</v>
      </c>
      <c r="E115" s="49" t="s">
        <v>4689</v>
      </c>
      <c r="F115" s="154"/>
      <c r="G115" s="49"/>
      <c r="H115" s="96">
        <v>0</v>
      </c>
      <c r="I115" s="114" t="s">
        <v>465</v>
      </c>
      <c r="J115" s="154"/>
      <c r="K115" s="49"/>
      <c r="L115" s="49"/>
      <c r="M115" s="49"/>
      <c r="N115" s="49"/>
      <c r="O115" s="49"/>
      <c r="P115" s="49"/>
      <c r="Q115" s="49"/>
      <c r="R115" s="49"/>
    </row>
    <row r="116" spans="1:18" x14ac:dyDescent="0.25">
      <c r="A116" s="49" t="s">
        <v>4690</v>
      </c>
      <c r="B116" s="103"/>
      <c r="C116" s="101" t="s">
        <v>4432</v>
      </c>
      <c r="D116" s="49" t="s">
        <v>4469</v>
      </c>
      <c r="E116" s="49" t="s">
        <v>4691</v>
      </c>
      <c r="F116" s="154"/>
      <c r="G116" s="49"/>
      <c r="H116" s="39">
        <v>4</v>
      </c>
      <c r="I116" s="114"/>
      <c r="J116" s="154"/>
      <c r="K116" s="154"/>
      <c r="L116" s="49"/>
      <c r="M116" s="49"/>
      <c r="N116" s="49"/>
      <c r="O116" s="49"/>
      <c r="P116" s="49"/>
      <c r="Q116" s="49"/>
      <c r="R116" s="49"/>
    </row>
    <row r="117" spans="1:18" s="285" customFormat="1" x14ac:dyDescent="0.25">
      <c r="A117" s="92" t="s">
        <v>4692</v>
      </c>
      <c r="B117" s="93"/>
      <c r="C117" s="99" t="s">
        <v>4432</v>
      </c>
      <c r="D117" s="92" t="s">
        <v>4469</v>
      </c>
      <c r="E117" s="92" t="s">
        <v>4693</v>
      </c>
      <c r="F117" s="94"/>
      <c r="G117" s="95"/>
      <c r="H117" s="96">
        <v>0</v>
      </c>
      <c r="I117" s="301" t="s">
        <v>346</v>
      </c>
      <c r="J117" s="302"/>
      <c r="K117" s="92"/>
      <c r="L117" s="92"/>
      <c r="M117" s="92"/>
      <c r="N117" s="92"/>
      <c r="O117" s="92"/>
      <c r="P117" s="92"/>
      <c r="Q117" s="92"/>
      <c r="R117" s="92"/>
    </row>
    <row r="118" spans="1:18" s="285" customFormat="1" x14ac:dyDescent="0.25">
      <c r="A118" s="92" t="s">
        <v>4694</v>
      </c>
      <c r="B118" s="93"/>
      <c r="C118" s="99" t="s">
        <v>4432</v>
      </c>
      <c r="D118" s="92" t="s">
        <v>4469</v>
      </c>
      <c r="E118" s="92" t="s">
        <v>4695</v>
      </c>
      <c r="F118" s="94"/>
      <c r="G118" s="95"/>
      <c r="H118" s="96">
        <v>0</v>
      </c>
      <c r="I118" s="301" t="s">
        <v>26</v>
      </c>
      <c r="J118" s="302" t="s">
        <v>382</v>
      </c>
      <c r="K118" s="92"/>
      <c r="L118" s="92"/>
      <c r="M118" s="92"/>
      <c r="N118" s="92"/>
      <c r="O118" s="92"/>
      <c r="P118" s="92"/>
      <c r="Q118" s="92"/>
      <c r="R118" s="92"/>
    </row>
    <row r="119" spans="1:18" x14ac:dyDescent="0.25">
      <c r="A119" s="49" t="s">
        <v>4696</v>
      </c>
      <c r="B119" s="103"/>
      <c r="C119" s="101" t="s">
        <v>4432</v>
      </c>
      <c r="D119" s="49" t="s">
        <v>4469</v>
      </c>
      <c r="E119" s="49" t="s">
        <v>4697</v>
      </c>
      <c r="F119" s="112"/>
      <c r="G119" s="113"/>
      <c r="H119" s="39">
        <v>3</v>
      </c>
      <c r="I119" s="114"/>
      <c r="J119" s="154"/>
      <c r="K119" s="49"/>
      <c r="L119" s="49"/>
      <c r="M119" s="49"/>
      <c r="N119" s="49"/>
      <c r="O119" s="49"/>
      <c r="P119" s="49"/>
      <c r="Q119" s="49"/>
      <c r="R119" s="49"/>
    </row>
    <row r="120" spans="1:18" x14ac:dyDescent="0.25">
      <c r="A120" s="49" t="s">
        <v>4698</v>
      </c>
      <c r="B120" s="103"/>
      <c r="C120" s="101" t="s">
        <v>4432</v>
      </c>
      <c r="D120" s="49" t="s">
        <v>4469</v>
      </c>
      <c r="E120" s="49" t="s">
        <v>4699</v>
      </c>
      <c r="F120" s="112"/>
      <c r="G120" s="113"/>
      <c r="H120" s="39">
        <v>3</v>
      </c>
      <c r="I120" s="114"/>
      <c r="J120" s="154"/>
      <c r="K120" s="49"/>
      <c r="L120" s="49"/>
      <c r="M120" s="49"/>
      <c r="N120" s="49"/>
      <c r="O120" s="299"/>
      <c r="P120" s="49"/>
      <c r="Q120" s="49"/>
      <c r="R120" s="49"/>
    </row>
    <row r="121" spans="1:18" x14ac:dyDescent="0.25">
      <c r="A121" s="49" t="s">
        <v>4700</v>
      </c>
      <c r="B121" s="103"/>
      <c r="C121" s="101" t="s">
        <v>4432</v>
      </c>
      <c r="D121" s="49" t="s">
        <v>4469</v>
      </c>
      <c r="E121" s="49" t="s">
        <v>4701</v>
      </c>
      <c r="F121" s="112"/>
      <c r="G121" s="113"/>
      <c r="H121" s="39">
        <v>2</v>
      </c>
      <c r="I121" s="114" t="s">
        <v>169</v>
      </c>
      <c r="J121" s="154"/>
      <c r="K121" s="49"/>
      <c r="L121" s="49"/>
      <c r="M121" s="49"/>
      <c r="N121" s="49"/>
      <c r="O121" s="49"/>
      <c r="P121" s="49"/>
      <c r="Q121" s="49"/>
      <c r="R121" s="49"/>
    </row>
    <row r="122" spans="1:18" x14ac:dyDescent="0.25">
      <c r="A122" s="49" t="s">
        <v>4702</v>
      </c>
      <c r="B122" s="103"/>
      <c r="C122" s="101" t="s">
        <v>4432</v>
      </c>
      <c r="D122" s="49"/>
      <c r="E122" s="49" t="s">
        <v>4703</v>
      </c>
      <c r="F122" s="112"/>
      <c r="G122" s="113"/>
      <c r="H122" s="39">
        <v>2</v>
      </c>
      <c r="I122" s="114"/>
      <c r="J122" s="154"/>
      <c r="K122" s="49"/>
      <c r="L122" s="49"/>
      <c r="M122" s="49"/>
      <c r="N122" s="49"/>
      <c r="O122" s="49"/>
      <c r="P122" s="49"/>
      <c r="Q122" s="49"/>
      <c r="R122" s="49"/>
    </row>
    <row r="123" spans="1:18" x14ac:dyDescent="0.25">
      <c r="A123" s="49" t="s">
        <v>4704</v>
      </c>
      <c r="B123" s="103"/>
      <c r="C123" s="49" t="s">
        <v>4705</v>
      </c>
      <c r="D123" s="74"/>
      <c r="E123" s="49" t="s">
        <v>4706</v>
      </c>
      <c r="F123" s="112"/>
      <c r="G123" s="113"/>
      <c r="H123" s="39">
        <v>17</v>
      </c>
      <c r="I123" s="114" t="s">
        <v>4707</v>
      </c>
      <c r="J123" s="154"/>
      <c r="K123" s="49"/>
      <c r="L123" s="49"/>
      <c r="M123" s="49"/>
      <c r="N123" s="49"/>
      <c r="O123" s="49"/>
      <c r="P123" s="49"/>
      <c r="Q123" s="49"/>
      <c r="R123" s="49"/>
    </row>
    <row r="124" spans="1:18" x14ac:dyDescent="0.25">
      <c r="A124" s="49" t="s">
        <v>4708</v>
      </c>
      <c r="B124" s="103"/>
      <c r="C124" s="49" t="s">
        <v>4709</v>
      </c>
      <c r="D124" s="49" t="s">
        <v>4710</v>
      </c>
      <c r="E124" s="49" t="s">
        <v>4711</v>
      </c>
      <c r="F124" s="154"/>
      <c r="G124" s="113"/>
      <c r="H124" s="39">
        <v>93</v>
      </c>
      <c r="I124" s="114"/>
      <c r="J124" s="154"/>
      <c r="K124" s="49"/>
      <c r="L124" s="49"/>
      <c r="M124" s="49"/>
      <c r="N124" s="49"/>
      <c r="O124" s="49"/>
      <c r="P124" s="49"/>
      <c r="Q124" s="49"/>
      <c r="R124" s="49"/>
    </row>
    <row r="125" spans="1:18" x14ac:dyDescent="0.25">
      <c r="A125" s="49" t="s">
        <v>4712</v>
      </c>
      <c r="B125" s="103"/>
      <c r="C125" s="49" t="s">
        <v>4709</v>
      </c>
      <c r="D125" s="49" t="s">
        <v>4710</v>
      </c>
      <c r="E125" s="49" t="s">
        <v>4713</v>
      </c>
      <c r="F125" s="154"/>
      <c r="G125" s="113"/>
      <c r="H125" s="39">
        <v>7</v>
      </c>
      <c r="I125" s="114" t="s">
        <v>159</v>
      </c>
      <c r="J125" s="154" t="s">
        <v>4714</v>
      </c>
      <c r="K125" s="49"/>
      <c r="L125" s="49"/>
      <c r="M125" s="49"/>
      <c r="N125" s="49"/>
      <c r="O125" s="49"/>
      <c r="P125" s="49"/>
      <c r="Q125" s="49"/>
      <c r="R125" s="49"/>
    </row>
    <row r="126" spans="1:18" x14ac:dyDescent="0.25">
      <c r="A126" s="49" t="s">
        <v>4715</v>
      </c>
      <c r="B126" s="103"/>
      <c r="C126" s="101" t="s">
        <v>4668</v>
      </c>
      <c r="D126" s="49" t="s">
        <v>4710</v>
      </c>
      <c r="E126" s="49" t="s">
        <v>4716</v>
      </c>
      <c r="F126" s="154"/>
      <c r="G126" s="113"/>
      <c r="H126" s="39">
        <v>24</v>
      </c>
      <c r="I126" s="114"/>
      <c r="J126" s="154"/>
      <c r="K126" s="49"/>
      <c r="L126" s="49"/>
      <c r="M126" s="49"/>
      <c r="N126" s="49"/>
      <c r="O126" s="49"/>
      <c r="P126" s="49"/>
      <c r="Q126" s="49"/>
      <c r="R126" s="49"/>
    </row>
    <row r="127" spans="1:18" s="285" customFormat="1" x14ac:dyDescent="0.25">
      <c r="A127" s="92" t="s">
        <v>4717</v>
      </c>
      <c r="B127" s="93"/>
      <c r="C127" s="99" t="s">
        <v>4668</v>
      </c>
      <c r="D127" s="92" t="s">
        <v>4710</v>
      </c>
      <c r="E127" s="92" t="s">
        <v>4718</v>
      </c>
      <c r="F127" s="94"/>
      <c r="G127" s="95"/>
      <c r="H127" s="96">
        <v>0</v>
      </c>
      <c r="I127" s="301" t="s">
        <v>473</v>
      </c>
      <c r="J127" s="302"/>
      <c r="K127" s="92"/>
      <c r="L127" s="92"/>
      <c r="M127" s="92"/>
      <c r="N127" s="92"/>
      <c r="O127" s="92"/>
      <c r="P127" s="92"/>
      <c r="Q127" s="92"/>
      <c r="R127" s="92"/>
    </row>
    <row r="128" spans="1:18" x14ac:dyDescent="0.25">
      <c r="A128" s="49" t="s">
        <v>4719</v>
      </c>
      <c r="B128" s="103"/>
      <c r="C128" s="49" t="s">
        <v>4709</v>
      </c>
      <c r="D128" s="49" t="s">
        <v>4710</v>
      </c>
      <c r="E128" s="49" t="s">
        <v>4720</v>
      </c>
      <c r="F128" s="112"/>
      <c r="G128" s="113"/>
      <c r="H128" s="39">
        <v>1</v>
      </c>
      <c r="I128" s="114"/>
      <c r="J128" s="154"/>
      <c r="K128" s="299"/>
      <c r="L128" s="49"/>
      <c r="M128" s="49"/>
      <c r="N128" s="49"/>
      <c r="O128" s="49"/>
      <c r="P128" s="49"/>
      <c r="Q128" s="49"/>
      <c r="R128" s="49"/>
    </row>
    <row r="129" spans="1:18" x14ac:dyDescent="0.25">
      <c r="A129" s="49" t="s">
        <v>4721</v>
      </c>
      <c r="B129" s="103"/>
      <c r="C129" s="101" t="s">
        <v>4668</v>
      </c>
      <c r="D129" s="49" t="s">
        <v>4722</v>
      </c>
      <c r="E129" s="49" t="s">
        <v>4723</v>
      </c>
      <c r="F129" s="154"/>
      <c r="G129" s="113"/>
      <c r="H129" s="39">
        <v>9</v>
      </c>
      <c r="I129" s="114" t="s">
        <v>4724</v>
      </c>
      <c r="J129" s="154"/>
      <c r="K129" s="49"/>
      <c r="L129" s="49"/>
      <c r="M129" s="49"/>
      <c r="N129" s="49"/>
      <c r="O129" s="49"/>
      <c r="P129" s="49"/>
      <c r="Q129" s="49"/>
      <c r="R129" s="49"/>
    </row>
    <row r="130" spans="1:18" x14ac:dyDescent="0.25">
      <c r="A130" s="49" t="s">
        <v>4725</v>
      </c>
      <c r="B130" s="103"/>
      <c r="C130" s="101" t="s">
        <v>4668</v>
      </c>
      <c r="D130" s="49" t="s">
        <v>4722</v>
      </c>
      <c r="E130" s="49" t="s">
        <v>4726</v>
      </c>
      <c r="F130" s="154"/>
      <c r="G130" s="113"/>
      <c r="H130" s="39">
        <v>13</v>
      </c>
      <c r="I130" s="114" t="s">
        <v>470</v>
      </c>
      <c r="J130" s="298" t="s">
        <v>158</v>
      </c>
      <c r="K130" s="49"/>
      <c r="L130" s="49"/>
      <c r="M130" s="49"/>
      <c r="N130" s="49"/>
      <c r="O130" s="49"/>
      <c r="P130" s="299"/>
      <c r="Q130" s="49"/>
      <c r="R130" s="49"/>
    </row>
    <row r="131" spans="1:18" x14ac:dyDescent="0.25">
      <c r="A131" s="49" t="s">
        <v>4727</v>
      </c>
      <c r="B131" s="103"/>
      <c r="C131" s="101" t="s">
        <v>4668</v>
      </c>
      <c r="D131" s="49" t="s">
        <v>4722</v>
      </c>
      <c r="E131" s="49" t="s">
        <v>4728</v>
      </c>
      <c r="F131" s="154"/>
      <c r="G131" s="113"/>
      <c r="H131" s="39">
        <v>9</v>
      </c>
      <c r="I131" s="114"/>
      <c r="J131" s="298"/>
      <c r="K131" s="49"/>
      <c r="L131" s="49"/>
      <c r="M131" s="49"/>
      <c r="N131" s="49"/>
      <c r="O131" s="49"/>
      <c r="P131" s="49"/>
      <c r="Q131" s="49"/>
      <c r="R131" s="49"/>
    </row>
    <row r="132" spans="1:18" x14ac:dyDescent="0.25">
      <c r="A132" s="49" t="s">
        <v>4729</v>
      </c>
      <c r="B132" s="103"/>
      <c r="C132" s="101" t="s">
        <v>4668</v>
      </c>
      <c r="D132" s="49" t="s">
        <v>4722</v>
      </c>
      <c r="E132" s="49" t="s">
        <v>4730</v>
      </c>
      <c r="F132" s="154"/>
      <c r="G132" s="113"/>
      <c r="H132" s="39">
        <v>11</v>
      </c>
      <c r="I132" s="114"/>
      <c r="J132" s="154"/>
      <c r="K132" s="49"/>
      <c r="L132" s="49"/>
      <c r="M132" s="49"/>
      <c r="N132" s="49"/>
      <c r="O132" s="49"/>
      <c r="P132" s="49"/>
      <c r="Q132" s="49"/>
      <c r="R132" s="49"/>
    </row>
    <row r="133" spans="1:18" x14ac:dyDescent="0.25">
      <c r="A133" s="49" t="s">
        <v>4731</v>
      </c>
      <c r="B133" s="103"/>
      <c r="C133" s="101" t="s">
        <v>4668</v>
      </c>
      <c r="D133" s="49" t="s">
        <v>4722</v>
      </c>
      <c r="E133" s="49" t="s">
        <v>4732</v>
      </c>
      <c r="F133" s="154"/>
      <c r="G133" s="113"/>
      <c r="H133" s="39">
        <v>13</v>
      </c>
      <c r="I133" s="114"/>
      <c r="J133" s="298"/>
      <c r="K133" s="49"/>
      <c r="L133" s="49"/>
      <c r="M133" s="49"/>
      <c r="N133" s="49"/>
      <c r="O133" s="49"/>
      <c r="P133" s="49"/>
      <c r="Q133" s="49"/>
      <c r="R133" s="49"/>
    </row>
    <row r="134" spans="1:18" x14ac:dyDescent="0.25">
      <c r="A134" s="49" t="s">
        <v>4733</v>
      </c>
      <c r="B134" s="103"/>
      <c r="C134" s="101" t="s">
        <v>4668</v>
      </c>
      <c r="D134" s="49" t="s">
        <v>4722</v>
      </c>
      <c r="E134" s="49" t="s">
        <v>4734</v>
      </c>
      <c r="F134" s="112"/>
      <c r="G134" s="113"/>
      <c r="H134" s="39">
        <v>11</v>
      </c>
      <c r="I134" s="114" t="s">
        <v>4724</v>
      </c>
      <c r="J134" s="154"/>
      <c r="K134" s="49"/>
      <c r="L134" s="49"/>
      <c r="M134" s="49"/>
      <c r="N134" s="49"/>
      <c r="O134" s="49"/>
      <c r="P134" s="49"/>
      <c r="Q134" s="49"/>
      <c r="R134" s="49"/>
    </row>
    <row r="135" spans="1:18" x14ac:dyDescent="0.25">
      <c r="A135" s="49" t="s">
        <v>4735</v>
      </c>
      <c r="B135" s="103"/>
      <c r="C135" s="101" t="s">
        <v>4668</v>
      </c>
      <c r="D135" s="49" t="s">
        <v>4722</v>
      </c>
      <c r="E135" s="49" t="s">
        <v>4736</v>
      </c>
      <c r="F135" s="112"/>
      <c r="G135" s="113"/>
      <c r="H135" s="39">
        <v>18</v>
      </c>
      <c r="I135" s="114" t="s">
        <v>4724</v>
      </c>
      <c r="J135" s="154"/>
      <c r="K135" s="49"/>
      <c r="L135" s="49"/>
      <c r="M135" s="49"/>
      <c r="N135" s="49"/>
      <c r="O135" s="49"/>
      <c r="P135" s="49"/>
      <c r="Q135" s="49"/>
      <c r="R135" s="49"/>
    </row>
    <row r="136" spans="1:18" x14ac:dyDescent="0.25">
      <c r="A136" s="49" t="s">
        <v>4737</v>
      </c>
      <c r="B136" s="103"/>
      <c r="C136" s="101" t="s">
        <v>4668</v>
      </c>
      <c r="D136" s="49" t="s">
        <v>4722</v>
      </c>
      <c r="E136" s="49" t="s">
        <v>4738</v>
      </c>
      <c r="F136" s="112"/>
      <c r="G136" s="113"/>
      <c r="H136" s="39">
        <v>8</v>
      </c>
      <c r="I136" s="114"/>
      <c r="J136" s="154"/>
      <c r="K136" s="49"/>
      <c r="L136" s="49"/>
      <c r="M136" s="49"/>
      <c r="N136" s="49"/>
      <c r="O136" s="49"/>
      <c r="P136" s="49"/>
      <c r="Q136" s="49"/>
      <c r="R136" s="49"/>
    </row>
    <row r="137" spans="1:18" x14ac:dyDescent="0.25">
      <c r="A137" s="49" t="s">
        <v>4739</v>
      </c>
      <c r="B137" s="103"/>
      <c r="C137" s="101" t="s">
        <v>4668</v>
      </c>
      <c r="D137" s="49" t="s">
        <v>4722</v>
      </c>
      <c r="E137" s="49" t="s">
        <v>4740</v>
      </c>
      <c r="F137" s="112"/>
      <c r="G137" s="113"/>
      <c r="H137" s="96">
        <v>0</v>
      </c>
      <c r="I137" s="114" t="s">
        <v>1474</v>
      </c>
      <c r="J137" s="154" t="s">
        <v>1920</v>
      </c>
      <c r="K137" s="49"/>
      <c r="L137" s="49"/>
      <c r="M137" s="49"/>
      <c r="N137" s="49"/>
      <c r="O137" s="49"/>
      <c r="P137" s="49"/>
      <c r="Q137" s="49"/>
      <c r="R137" s="49"/>
    </row>
    <row r="138" spans="1:18" x14ac:dyDescent="0.25">
      <c r="A138" s="49" t="s">
        <v>4741</v>
      </c>
      <c r="B138" s="103"/>
      <c r="C138" s="101" t="s">
        <v>4668</v>
      </c>
      <c r="D138" s="49" t="s">
        <v>4722</v>
      </c>
      <c r="E138" s="49" t="s">
        <v>4742</v>
      </c>
      <c r="F138" s="112"/>
      <c r="G138" s="113"/>
      <c r="H138" s="39">
        <v>8</v>
      </c>
      <c r="I138" s="114"/>
      <c r="J138" s="154"/>
      <c r="K138" s="49"/>
      <c r="L138" s="49"/>
      <c r="M138" s="49"/>
      <c r="N138" s="49"/>
      <c r="O138" s="49"/>
      <c r="P138" s="49"/>
      <c r="Q138" s="49"/>
      <c r="R138" s="49"/>
    </row>
    <row r="139" spans="1:18" x14ac:dyDescent="0.25">
      <c r="A139" s="49" t="s">
        <v>4743</v>
      </c>
      <c r="B139" s="103"/>
      <c r="C139" s="101" t="s">
        <v>4668</v>
      </c>
      <c r="D139" s="49" t="s">
        <v>4722</v>
      </c>
      <c r="E139" s="49" t="s">
        <v>4744</v>
      </c>
      <c r="F139" s="112"/>
      <c r="G139" s="113"/>
      <c r="H139" s="39">
        <v>8</v>
      </c>
      <c r="I139" s="114"/>
      <c r="J139" s="154"/>
      <c r="K139" s="49"/>
      <c r="L139" s="49"/>
      <c r="M139" s="49"/>
      <c r="N139" s="49"/>
      <c r="O139" s="49"/>
      <c r="P139" s="49"/>
      <c r="Q139" s="49"/>
      <c r="R139" s="49"/>
    </row>
    <row r="140" spans="1:18" x14ac:dyDescent="0.25">
      <c r="A140" s="49" t="s">
        <v>4745</v>
      </c>
      <c r="B140" s="103"/>
      <c r="C140" s="101" t="s">
        <v>4668</v>
      </c>
      <c r="D140" s="49" t="s">
        <v>4722</v>
      </c>
      <c r="E140" s="49" t="s">
        <v>4746</v>
      </c>
      <c r="F140" s="112"/>
      <c r="G140" s="113"/>
      <c r="H140" s="39">
        <v>8</v>
      </c>
      <c r="I140" s="114"/>
      <c r="J140" s="154"/>
      <c r="K140" s="49"/>
      <c r="L140" s="49"/>
      <c r="M140" s="49"/>
      <c r="N140" s="49"/>
      <c r="O140" s="49"/>
      <c r="P140" s="49"/>
      <c r="Q140" s="49"/>
      <c r="R140" s="49"/>
    </row>
    <row r="141" spans="1:18" x14ac:dyDescent="0.25">
      <c r="A141" s="49" t="s">
        <v>4747</v>
      </c>
      <c r="B141" s="103"/>
      <c r="C141" s="101" t="s">
        <v>4668</v>
      </c>
      <c r="D141" s="49" t="s">
        <v>4722</v>
      </c>
      <c r="E141" s="49" t="s">
        <v>4748</v>
      </c>
      <c r="F141" s="112"/>
      <c r="G141" s="113"/>
      <c r="H141" s="39">
        <v>8</v>
      </c>
      <c r="I141" s="114"/>
      <c r="J141" s="154"/>
      <c r="K141" s="49"/>
      <c r="L141" s="49"/>
      <c r="M141" s="49"/>
      <c r="N141" s="49"/>
      <c r="O141" s="49"/>
      <c r="P141" s="49"/>
      <c r="Q141" s="49"/>
      <c r="R141" s="49"/>
    </row>
    <row r="142" spans="1:18" x14ac:dyDescent="0.25">
      <c r="A142" s="49" t="s">
        <v>4749</v>
      </c>
      <c r="B142" s="103"/>
      <c r="C142" s="49" t="s">
        <v>4649</v>
      </c>
      <c r="D142" s="49" t="s">
        <v>4710</v>
      </c>
      <c r="E142" s="49" t="s">
        <v>4750</v>
      </c>
      <c r="F142" s="112"/>
      <c r="G142" s="113"/>
      <c r="H142" s="39">
        <v>59</v>
      </c>
      <c r="I142" s="114"/>
      <c r="J142" s="154"/>
      <c r="K142" s="49"/>
      <c r="L142" s="49"/>
      <c r="M142" s="49"/>
      <c r="N142" s="49"/>
      <c r="O142" s="49"/>
      <c r="P142" s="49"/>
      <c r="Q142" s="49"/>
      <c r="R142" s="49"/>
    </row>
    <row r="143" spans="1:18" x14ac:dyDescent="0.25">
      <c r="A143" s="49" t="s">
        <v>4751</v>
      </c>
      <c r="B143" s="103"/>
      <c r="C143" s="49" t="s">
        <v>4649</v>
      </c>
      <c r="D143" s="49" t="s">
        <v>4710</v>
      </c>
      <c r="E143" s="49" t="s">
        <v>4752</v>
      </c>
      <c r="F143" s="112"/>
      <c r="G143" s="113"/>
      <c r="H143" s="39">
        <v>12</v>
      </c>
      <c r="I143" s="114"/>
      <c r="J143" s="154"/>
      <c r="K143" s="49"/>
      <c r="L143" s="49"/>
      <c r="M143" s="49"/>
      <c r="N143" s="49"/>
      <c r="O143" s="49"/>
      <c r="P143" s="49"/>
      <c r="Q143" s="49"/>
      <c r="R143" s="49"/>
    </row>
    <row r="144" spans="1:18" x14ac:dyDescent="0.25">
      <c r="A144" s="49" t="s">
        <v>4753</v>
      </c>
      <c r="B144" s="103"/>
      <c r="C144" s="49" t="s">
        <v>4649</v>
      </c>
      <c r="D144" s="49" t="s">
        <v>4710</v>
      </c>
      <c r="E144" s="49" t="s">
        <v>4754</v>
      </c>
      <c r="F144" s="112"/>
      <c r="G144" s="113"/>
      <c r="H144" s="39">
        <v>12</v>
      </c>
      <c r="I144" s="114"/>
      <c r="J144" s="154"/>
      <c r="K144" s="49"/>
      <c r="L144" s="49"/>
      <c r="M144" s="49"/>
      <c r="N144" s="49"/>
      <c r="O144" s="49"/>
      <c r="P144" s="49"/>
      <c r="Q144" s="49"/>
      <c r="R144" s="49"/>
    </row>
    <row r="145" spans="1:18" x14ac:dyDescent="0.25">
      <c r="A145" s="49" t="s">
        <v>4755</v>
      </c>
      <c r="B145" s="103"/>
      <c r="C145" s="49" t="s">
        <v>4649</v>
      </c>
      <c r="D145" s="49" t="s">
        <v>4710</v>
      </c>
      <c r="E145" s="49" t="s">
        <v>4756</v>
      </c>
      <c r="F145" s="154"/>
      <c r="G145" s="113"/>
      <c r="H145" s="39">
        <v>12</v>
      </c>
      <c r="I145" s="114"/>
      <c r="J145" s="154"/>
      <c r="K145" s="49"/>
      <c r="L145" s="49"/>
      <c r="M145" s="49"/>
      <c r="N145" s="49"/>
      <c r="O145" s="49"/>
      <c r="P145" s="49"/>
      <c r="Q145" s="49"/>
      <c r="R145" s="49"/>
    </row>
    <row r="146" spans="1:18" x14ac:dyDescent="0.25">
      <c r="A146" s="49" t="s">
        <v>4757</v>
      </c>
      <c r="B146" s="103"/>
      <c r="C146" s="49" t="s">
        <v>4649</v>
      </c>
      <c r="D146" s="49" t="s">
        <v>4710</v>
      </c>
      <c r="E146" s="49" t="s">
        <v>4758</v>
      </c>
      <c r="F146" s="112"/>
      <c r="G146" s="113"/>
      <c r="H146" s="39">
        <v>12</v>
      </c>
      <c r="I146" s="114"/>
      <c r="J146" s="154"/>
      <c r="K146" s="49"/>
      <c r="L146" s="49"/>
      <c r="M146" s="49"/>
      <c r="N146" s="49"/>
      <c r="O146" s="49"/>
      <c r="P146" s="49"/>
      <c r="Q146" s="49"/>
      <c r="R146" s="49"/>
    </row>
    <row r="147" spans="1:18" x14ac:dyDescent="0.25">
      <c r="A147" s="49" t="s">
        <v>4759</v>
      </c>
      <c r="B147" s="103"/>
      <c r="C147" s="49" t="s">
        <v>4649</v>
      </c>
      <c r="D147" s="49" t="s">
        <v>4710</v>
      </c>
      <c r="E147" s="49" t="s">
        <v>4760</v>
      </c>
      <c r="F147" s="154"/>
      <c r="G147" s="113"/>
      <c r="H147" s="39">
        <v>12</v>
      </c>
      <c r="I147" s="114"/>
      <c r="J147" s="154"/>
      <c r="K147" s="49"/>
      <c r="L147" s="49"/>
      <c r="M147" s="49"/>
      <c r="N147" s="49"/>
      <c r="O147" s="49"/>
      <c r="P147" s="49"/>
      <c r="Q147" s="49"/>
      <c r="R147" s="49"/>
    </row>
    <row r="148" spans="1:18" x14ac:dyDescent="0.25">
      <c r="A148" s="49" t="s">
        <v>4761</v>
      </c>
      <c r="B148" s="103"/>
      <c r="C148" s="49" t="s">
        <v>4649</v>
      </c>
      <c r="D148" s="49" t="s">
        <v>4722</v>
      </c>
      <c r="E148" s="49" t="s">
        <v>4762</v>
      </c>
      <c r="F148" s="112"/>
      <c r="G148" s="113"/>
      <c r="H148" s="39">
        <v>8</v>
      </c>
      <c r="I148" s="114"/>
      <c r="J148" s="154"/>
      <c r="K148" s="49"/>
      <c r="L148" s="49"/>
      <c r="M148" s="49"/>
      <c r="N148" s="49"/>
      <c r="O148" s="49"/>
      <c r="P148" s="49"/>
      <c r="Q148" s="49"/>
      <c r="R148" s="49"/>
    </row>
    <row r="149" spans="1:18" x14ac:dyDescent="0.25">
      <c r="A149" s="49" t="s">
        <v>4763</v>
      </c>
      <c r="B149" s="103"/>
      <c r="C149" s="49" t="s">
        <v>4649</v>
      </c>
      <c r="D149" s="49" t="s">
        <v>4722</v>
      </c>
      <c r="E149" s="101" t="s">
        <v>4764</v>
      </c>
      <c r="F149" s="154"/>
      <c r="G149" s="113"/>
      <c r="H149" s="39">
        <v>10</v>
      </c>
      <c r="I149" s="114"/>
      <c r="J149" s="154"/>
      <c r="K149" s="49"/>
      <c r="L149" s="49"/>
      <c r="M149" s="49"/>
      <c r="N149" s="49"/>
      <c r="O149" s="49"/>
      <c r="P149" s="49"/>
      <c r="Q149" s="49"/>
      <c r="R149" s="49"/>
    </row>
    <row r="150" spans="1:18" x14ac:dyDescent="0.25">
      <c r="A150" s="101" t="s">
        <v>4765</v>
      </c>
      <c r="B150" s="166"/>
      <c r="C150" s="49" t="s">
        <v>4649</v>
      </c>
      <c r="D150" s="49" t="s">
        <v>4722</v>
      </c>
      <c r="E150" s="101" t="s">
        <v>4766</v>
      </c>
      <c r="F150" s="168"/>
      <c r="G150" s="169"/>
      <c r="H150" s="170">
        <v>10</v>
      </c>
      <c r="I150" s="114"/>
      <c r="J150" s="154"/>
      <c r="K150" s="49"/>
      <c r="L150" s="49"/>
      <c r="M150" s="49"/>
      <c r="N150" s="49"/>
      <c r="O150" s="49"/>
      <c r="P150" s="49"/>
      <c r="Q150" s="49"/>
      <c r="R150" s="49"/>
    </row>
    <row r="151" spans="1:18" x14ac:dyDescent="0.25">
      <c r="A151" s="49" t="s">
        <v>4767</v>
      </c>
      <c r="B151" s="103"/>
      <c r="C151" s="49" t="s">
        <v>4649</v>
      </c>
      <c r="D151" s="49" t="s">
        <v>4722</v>
      </c>
      <c r="E151" s="49" t="s">
        <v>4768</v>
      </c>
      <c r="F151" s="112"/>
      <c r="G151" s="113"/>
      <c r="H151" s="39">
        <v>9</v>
      </c>
      <c r="I151" s="114"/>
      <c r="J151" s="154"/>
      <c r="K151" s="49"/>
      <c r="L151" s="49"/>
      <c r="M151" s="49"/>
      <c r="N151" s="49"/>
      <c r="O151" s="49"/>
      <c r="P151" s="49"/>
      <c r="Q151" s="49"/>
      <c r="R151" s="49"/>
    </row>
    <row r="152" spans="1:18" x14ac:dyDescent="0.25">
      <c r="A152" s="49" t="s">
        <v>4769</v>
      </c>
      <c r="B152" s="103"/>
      <c r="C152" s="49" t="s">
        <v>4649</v>
      </c>
      <c r="D152" s="49" t="s">
        <v>4722</v>
      </c>
      <c r="E152" s="101" t="s">
        <v>4770</v>
      </c>
      <c r="F152" s="154"/>
      <c r="G152" s="113"/>
      <c r="H152" s="39">
        <v>10</v>
      </c>
      <c r="I152" s="114"/>
      <c r="J152" s="154"/>
      <c r="K152" s="49"/>
      <c r="L152" s="49"/>
      <c r="M152" s="49"/>
      <c r="N152" s="49"/>
      <c r="O152" s="49"/>
      <c r="P152" s="49"/>
      <c r="Q152" s="49"/>
      <c r="R152" s="49"/>
    </row>
    <row r="153" spans="1:18" x14ac:dyDescent="0.25">
      <c r="A153" s="49" t="s">
        <v>4771</v>
      </c>
      <c r="B153" s="103"/>
      <c r="C153" s="49" t="s">
        <v>4649</v>
      </c>
      <c r="D153" s="49" t="s">
        <v>4722</v>
      </c>
      <c r="E153" s="49" t="s">
        <v>4772</v>
      </c>
      <c r="F153" s="112"/>
      <c r="G153" s="113"/>
      <c r="H153" s="39">
        <v>1</v>
      </c>
      <c r="I153" s="303"/>
      <c r="J153" s="154"/>
      <c r="K153" s="49"/>
      <c r="L153" s="49"/>
      <c r="M153" s="49"/>
      <c r="N153" s="49"/>
      <c r="O153" s="49"/>
      <c r="P153" s="49"/>
      <c r="Q153" s="49"/>
      <c r="R153" s="49"/>
    </row>
    <row r="154" spans="1:18" x14ac:dyDescent="0.25">
      <c r="A154" s="49" t="s">
        <v>4773</v>
      </c>
      <c r="B154" s="103"/>
      <c r="C154" s="49" t="s">
        <v>4649</v>
      </c>
      <c r="D154" s="49" t="s">
        <v>4722</v>
      </c>
      <c r="E154" s="49" t="s">
        <v>4774</v>
      </c>
      <c r="F154" s="112"/>
      <c r="G154" s="113"/>
      <c r="H154" s="39">
        <v>1</v>
      </c>
      <c r="I154" s="114"/>
      <c r="J154" s="154"/>
      <c r="K154" s="49"/>
      <c r="L154" s="49"/>
      <c r="M154" s="49"/>
      <c r="N154" s="49"/>
      <c r="O154" s="49"/>
      <c r="P154" s="49"/>
      <c r="Q154" s="49"/>
      <c r="R154" s="49"/>
    </row>
    <row r="155" spans="1:18" x14ac:dyDescent="0.25">
      <c r="A155" s="49" t="s">
        <v>4775</v>
      </c>
      <c r="B155" s="103"/>
      <c r="C155" s="49" t="s">
        <v>4649</v>
      </c>
      <c r="D155" s="49" t="s">
        <v>4722</v>
      </c>
      <c r="E155" s="49" t="s">
        <v>4776</v>
      </c>
      <c r="F155" s="112"/>
      <c r="G155" s="113"/>
      <c r="H155" s="39">
        <v>3</v>
      </c>
      <c r="I155" s="114"/>
      <c r="J155" s="154"/>
      <c r="K155" s="49"/>
      <c r="L155" s="49"/>
      <c r="M155" s="49"/>
      <c r="N155" s="49"/>
      <c r="O155" s="49"/>
      <c r="P155" s="49"/>
      <c r="Q155" s="49"/>
      <c r="R155" s="49"/>
    </row>
    <row r="156" spans="1:18" x14ac:dyDescent="0.25">
      <c r="A156" s="49" t="s">
        <v>4777</v>
      </c>
      <c r="B156" s="103"/>
      <c r="C156" s="49" t="s">
        <v>4649</v>
      </c>
      <c r="D156" s="49" t="s">
        <v>4722</v>
      </c>
      <c r="E156" s="49" t="s">
        <v>4778</v>
      </c>
      <c r="F156" s="112"/>
      <c r="G156" s="113"/>
      <c r="H156" s="39">
        <v>6</v>
      </c>
      <c r="I156" s="114"/>
      <c r="J156" s="154"/>
      <c r="K156" s="49"/>
      <c r="L156" s="49"/>
      <c r="M156" s="49"/>
      <c r="N156" s="49"/>
      <c r="O156" s="49"/>
      <c r="P156" s="49"/>
      <c r="Q156" s="49"/>
      <c r="R156" s="49"/>
    </row>
    <row r="157" spans="1:18" x14ac:dyDescent="0.25">
      <c r="A157" s="49" t="s">
        <v>4779</v>
      </c>
      <c r="B157" s="103"/>
      <c r="C157" s="49" t="s">
        <v>4649</v>
      </c>
      <c r="D157" s="49" t="s">
        <v>4722</v>
      </c>
      <c r="E157" s="101" t="s">
        <v>4780</v>
      </c>
      <c r="F157" s="154"/>
      <c r="G157" s="113"/>
      <c r="H157" s="39">
        <v>6</v>
      </c>
      <c r="I157" s="114" t="s">
        <v>1799</v>
      </c>
      <c r="J157" s="154"/>
      <c r="K157" s="49"/>
      <c r="L157" s="49"/>
      <c r="M157" s="49"/>
      <c r="N157" s="49"/>
      <c r="O157" s="49"/>
      <c r="P157" s="49"/>
      <c r="Q157" s="49"/>
      <c r="R157" s="49"/>
    </row>
    <row r="158" spans="1:18" x14ac:dyDescent="0.25">
      <c r="A158" s="49" t="s">
        <v>4781</v>
      </c>
      <c r="B158" s="103"/>
      <c r="C158" s="49" t="s">
        <v>4649</v>
      </c>
      <c r="D158" s="49" t="s">
        <v>4722</v>
      </c>
      <c r="E158" s="101" t="s">
        <v>4782</v>
      </c>
      <c r="F158" s="154"/>
      <c r="G158" s="113"/>
      <c r="H158" s="39">
        <v>6</v>
      </c>
      <c r="I158" s="114"/>
      <c r="J158" s="154"/>
      <c r="K158" s="49"/>
      <c r="L158" s="49"/>
      <c r="M158" s="49"/>
      <c r="N158" s="49"/>
      <c r="O158" s="49"/>
      <c r="P158" s="49"/>
      <c r="Q158" s="49"/>
      <c r="R158" s="49"/>
    </row>
    <row r="159" spans="1:18" x14ac:dyDescent="0.25">
      <c r="A159" s="49" t="s">
        <v>4783</v>
      </c>
      <c r="B159" s="103"/>
      <c r="C159" s="49" t="s">
        <v>4649</v>
      </c>
      <c r="D159" s="49" t="s">
        <v>4722</v>
      </c>
      <c r="E159" s="101" t="s">
        <v>4784</v>
      </c>
      <c r="F159" s="154"/>
      <c r="G159" s="113"/>
      <c r="H159" s="39">
        <v>2</v>
      </c>
      <c r="I159" s="114" t="s">
        <v>2858</v>
      </c>
      <c r="J159" s="154"/>
      <c r="K159" s="49"/>
      <c r="L159" s="49"/>
      <c r="M159" s="49"/>
      <c r="N159" s="49"/>
      <c r="O159" s="49"/>
      <c r="P159" s="49"/>
      <c r="Q159" s="49"/>
      <c r="R159" s="49"/>
    </row>
    <row r="160" spans="1:18" x14ac:dyDescent="0.25">
      <c r="A160" s="49" t="s">
        <v>4785</v>
      </c>
      <c r="B160" s="103"/>
      <c r="C160" s="101" t="s">
        <v>4649</v>
      </c>
      <c r="D160" s="49" t="s">
        <v>4786</v>
      </c>
      <c r="E160" s="101" t="s">
        <v>4787</v>
      </c>
      <c r="F160" s="154"/>
      <c r="G160" s="113"/>
      <c r="H160" s="39">
        <v>2</v>
      </c>
      <c r="I160" s="114" t="s">
        <v>2942</v>
      </c>
      <c r="J160" s="154" t="s">
        <v>3292</v>
      </c>
      <c r="K160" s="49"/>
      <c r="L160" s="49"/>
      <c r="M160" s="49"/>
      <c r="N160" s="49"/>
      <c r="O160" s="49"/>
      <c r="P160" s="49"/>
      <c r="Q160" s="49"/>
      <c r="R160" s="49"/>
    </row>
    <row r="161" spans="1:18" x14ac:dyDescent="0.25">
      <c r="A161" s="49" t="s">
        <v>4788</v>
      </c>
      <c r="B161" s="103"/>
      <c r="C161" s="101" t="s">
        <v>4649</v>
      </c>
      <c r="D161" s="49" t="s">
        <v>4786</v>
      </c>
      <c r="E161" s="101" t="s">
        <v>4789</v>
      </c>
      <c r="F161" s="154"/>
      <c r="G161" s="113"/>
      <c r="H161" s="39">
        <v>2</v>
      </c>
      <c r="I161" s="114" t="s">
        <v>2942</v>
      </c>
      <c r="J161" s="154" t="s">
        <v>3292</v>
      </c>
      <c r="K161" s="49"/>
      <c r="L161" s="49"/>
      <c r="M161" s="49"/>
      <c r="N161" s="49"/>
      <c r="O161" s="49"/>
      <c r="P161" s="49"/>
      <c r="Q161" s="49"/>
      <c r="R161" s="49"/>
    </row>
    <row r="162" spans="1:18" x14ac:dyDescent="0.25">
      <c r="A162" s="49" t="s">
        <v>4790</v>
      </c>
      <c r="B162" s="103"/>
      <c r="C162" s="101" t="s">
        <v>4649</v>
      </c>
      <c r="D162" s="49" t="s">
        <v>4786</v>
      </c>
      <c r="E162" s="101" t="s">
        <v>4791</v>
      </c>
      <c r="F162" s="154"/>
      <c r="G162" s="113"/>
      <c r="H162" s="39">
        <v>2</v>
      </c>
      <c r="I162" s="114" t="s">
        <v>2942</v>
      </c>
      <c r="J162" s="154" t="s">
        <v>3292</v>
      </c>
      <c r="K162" s="49"/>
      <c r="L162" s="49"/>
      <c r="M162" s="49"/>
      <c r="N162" s="49"/>
      <c r="O162" s="49"/>
      <c r="P162" s="49"/>
      <c r="Q162" s="49"/>
      <c r="R162" s="49"/>
    </row>
    <row r="163" spans="1:18" x14ac:dyDescent="0.25">
      <c r="A163" s="49" t="s">
        <v>4792</v>
      </c>
      <c r="B163" s="103"/>
      <c r="C163" s="101" t="s">
        <v>4649</v>
      </c>
      <c r="D163" s="49" t="s">
        <v>4786</v>
      </c>
      <c r="E163" s="49" t="s">
        <v>4793</v>
      </c>
      <c r="F163" s="112"/>
      <c r="G163" s="113"/>
      <c r="H163" s="39">
        <v>2</v>
      </c>
      <c r="I163" s="114" t="s">
        <v>2942</v>
      </c>
      <c r="J163" s="154" t="s">
        <v>3292</v>
      </c>
      <c r="K163" s="49"/>
      <c r="L163" s="49"/>
      <c r="M163" s="49"/>
      <c r="N163" s="49"/>
      <c r="O163" s="49"/>
      <c r="P163" s="49"/>
      <c r="Q163" s="49"/>
      <c r="R163" s="49"/>
    </row>
    <row r="164" spans="1:18" x14ac:dyDescent="0.25">
      <c r="A164" s="49" t="s">
        <v>4794</v>
      </c>
      <c r="B164" s="103"/>
      <c r="C164" s="101" t="s">
        <v>4649</v>
      </c>
      <c r="D164" s="49" t="s">
        <v>4786</v>
      </c>
      <c r="E164" s="49" t="s">
        <v>4795</v>
      </c>
      <c r="F164" s="112"/>
      <c r="G164" s="113"/>
      <c r="H164" s="96">
        <v>0</v>
      </c>
      <c r="I164" s="114" t="s">
        <v>432</v>
      </c>
      <c r="J164" s="154"/>
      <c r="K164" s="49"/>
      <c r="L164" s="49"/>
      <c r="M164" s="49"/>
      <c r="N164" s="49"/>
      <c r="O164" s="49"/>
      <c r="P164" s="49"/>
      <c r="Q164" s="49"/>
      <c r="R164" s="49"/>
    </row>
    <row r="165" spans="1:18" x14ac:dyDescent="0.25">
      <c r="A165" s="49" t="s">
        <v>4796</v>
      </c>
      <c r="B165" s="103"/>
      <c r="C165" s="101" t="s">
        <v>4649</v>
      </c>
      <c r="D165" s="49" t="s">
        <v>4433</v>
      </c>
      <c r="E165" s="49" t="s">
        <v>4797</v>
      </c>
      <c r="F165" s="112"/>
      <c r="G165" s="113"/>
      <c r="H165" s="37">
        <v>3</v>
      </c>
      <c r="I165" s="114" t="s">
        <v>4798</v>
      </c>
      <c r="J165" s="154" t="s">
        <v>4799</v>
      </c>
      <c r="K165" s="49"/>
      <c r="L165" s="49"/>
      <c r="M165" s="49"/>
      <c r="N165" s="49"/>
      <c r="O165" s="49"/>
      <c r="P165" s="49"/>
      <c r="Q165" s="49"/>
      <c r="R165" s="49"/>
    </row>
    <row r="166" spans="1:18" x14ac:dyDescent="0.25">
      <c r="A166" s="49" t="s">
        <v>4800</v>
      </c>
      <c r="B166" s="103"/>
      <c r="C166" s="101" t="s">
        <v>4668</v>
      </c>
      <c r="D166" s="49" t="s">
        <v>4786</v>
      </c>
      <c r="E166" s="74" t="s">
        <v>4801</v>
      </c>
      <c r="F166" s="112"/>
      <c r="G166" s="113"/>
      <c r="H166" s="39">
        <v>11</v>
      </c>
      <c r="I166" s="114" t="s">
        <v>3715</v>
      </c>
      <c r="J166" s="154"/>
      <c r="K166" s="49"/>
      <c r="L166" s="49"/>
      <c r="M166" s="49"/>
      <c r="N166" s="49"/>
      <c r="O166" s="49"/>
      <c r="P166" s="49"/>
      <c r="Q166" s="49"/>
      <c r="R166" s="49"/>
    </row>
    <row r="167" spans="1:18" x14ac:dyDescent="0.25">
      <c r="A167" s="49" t="s">
        <v>4802</v>
      </c>
      <c r="B167" s="103"/>
      <c r="C167" s="101" t="s">
        <v>4668</v>
      </c>
      <c r="D167" s="49" t="s">
        <v>4786</v>
      </c>
      <c r="E167" s="74" t="s">
        <v>4803</v>
      </c>
      <c r="F167" s="112"/>
      <c r="G167" s="113"/>
      <c r="H167" s="39">
        <v>6</v>
      </c>
      <c r="I167" s="114" t="s">
        <v>363</v>
      </c>
      <c r="J167" s="154" t="s">
        <v>3715</v>
      </c>
      <c r="K167" s="49"/>
      <c r="L167" s="49"/>
      <c r="M167" s="49"/>
      <c r="N167" s="49"/>
      <c r="O167" s="49"/>
      <c r="P167" s="49"/>
      <c r="Q167" s="49"/>
      <c r="R167" s="49"/>
    </row>
    <row r="168" spans="1:18" x14ac:dyDescent="0.25">
      <c r="A168" s="49" t="s">
        <v>4804</v>
      </c>
      <c r="B168" s="103"/>
      <c r="C168" s="101" t="s">
        <v>4668</v>
      </c>
      <c r="D168" s="49" t="s">
        <v>4786</v>
      </c>
      <c r="E168" s="74" t="s">
        <v>4805</v>
      </c>
      <c r="F168" s="112"/>
      <c r="G168" s="113"/>
      <c r="H168" s="39">
        <v>6</v>
      </c>
      <c r="I168" s="114" t="s">
        <v>3715</v>
      </c>
      <c r="J168" s="298"/>
      <c r="K168" s="49"/>
      <c r="L168" s="49"/>
      <c r="M168" s="49"/>
      <c r="N168" s="49"/>
      <c r="O168" s="49"/>
      <c r="P168" s="49"/>
      <c r="Q168" s="49"/>
      <c r="R168" s="49"/>
    </row>
    <row r="169" spans="1:18" x14ac:dyDescent="0.25">
      <c r="A169" s="49" t="s">
        <v>4806</v>
      </c>
      <c r="B169" s="103"/>
      <c r="C169" s="101" t="s">
        <v>4668</v>
      </c>
      <c r="D169" s="49" t="s">
        <v>4786</v>
      </c>
      <c r="E169" s="74" t="s">
        <v>4807</v>
      </c>
      <c r="F169" s="112"/>
      <c r="G169" s="113"/>
      <c r="H169" s="39">
        <v>6</v>
      </c>
      <c r="I169" s="114" t="s">
        <v>3715</v>
      </c>
      <c r="J169" s="154"/>
      <c r="K169" s="49"/>
      <c r="L169" s="49"/>
      <c r="M169" s="49"/>
      <c r="N169" s="49"/>
      <c r="O169" s="49"/>
      <c r="P169" s="49"/>
      <c r="Q169" s="49"/>
      <c r="R169" s="49"/>
    </row>
    <row r="170" spans="1:18" s="285" customFormat="1" x14ac:dyDescent="0.25">
      <c r="A170" s="92" t="s">
        <v>4808</v>
      </c>
      <c r="B170" s="93"/>
      <c r="C170" s="99" t="s">
        <v>4668</v>
      </c>
      <c r="D170" s="92" t="s">
        <v>4786</v>
      </c>
      <c r="E170" s="20" t="s">
        <v>4809</v>
      </c>
      <c r="F170" s="94"/>
      <c r="G170" s="95"/>
      <c r="H170" s="96">
        <v>0</v>
      </c>
      <c r="I170" s="301" t="s">
        <v>4810</v>
      </c>
      <c r="J170" s="302"/>
      <c r="K170" s="92"/>
      <c r="L170" s="92"/>
      <c r="M170" s="92"/>
      <c r="N170" s="92"/>
      <c r="O170" s="92"/>
      <c r="P170" s="92"/>
      <c r="Q170" s="92"/>
      <c r="R170" s="92"/>
    </row>
    <row r="171" spans="1:18" x14ac:dyDescent="0.25">
      <c r="A171" s="49" t="s">
        <v>4811</v>
      </c>
      <c r="B171" s="103"/>
      <c r="C171" s="101" t="s">
        <v>4668</v>
      </c>
      <c r="D171" s="49" t="s">
        <v>4786</v>
      </c>
      <c r="E171" s="74" t="s">
        <v>4812</v>
      </c>
      <c r="F171" s="112"/>
      <c r="G171" s="113"/>
      <c r="H171" s="39">
        <v>2</v>
      </c>
      <c r="I171" s="114" t="s">
        <v>3292</v>
      </c>
      <c r="J171" s="154"/>
      <c r="K171" s="49"/>
      <c r="L171" s="49"/>
      <c r="M171" s="49"/>
      <c r="N171" s="49"/>
      <c r="O171" s="49"/>
      <c r="P171" s="49"/>
      <c r="Q171" s="49"/>
      <c r="R171" s="49"/>
    </row>
    <row r="172" spans="1:18" x14ac:dyDescent="0.25">
      <c r="A172" s="49" t="s">
        <v>4813</v>
      </c>
      <c r="B172" s="103"/>
      <c r="C172" s="101" t="s">
        <v>4668</v>
      </c>
      <c r="D172" s="49" t="s">
        <v>4786</v>
      </c>
      <c r="E172" s="49" t="s">
        <v>4814</v>
      </c>
      <c r="F172" s="112"/>
      <c r="G172" s="113"/>
      <c r="H172" s="39">
        <v>1</v>
      </c>
      <c r="I172" s="114" t="s">
        <v>3292</v>
      </c>
      <c r="J172" s="154" t="s">
        <v>1483</v>
      </c>
      <c r="K172" s="49"/>
      <c r="L172" s="49"/>
      <c r="M172" s="49"/>
      <c r="N172" s="49"/>
      <c r="O172" s="49"/>
      <c r="P172" s="49"/>
      <c r="Q172" s="49"/>
      <c r="R172" s="49"/>
    </row>
    <row r="173" spans="1:18" s="285" customFormat="1" x14ac:dyDescent="0.25">
      <c r="A173" s="49" t="s">
        <v>4815</v>
      </c>
      <c r="B173" s="103"/>
      <c r="C173" s="101" t="s">
        <v>4668</v>
      </c>
      <c r="D173" s="49" t="s">
        <v>4786</v>
      </c>
      <c r="E173" s="74" t="s">
        <v>4816</v>
      </c>
      <c r="F173" s="112"/>
      <c r="G173" s="113"/>
      <c r="H173" s="39">
        <v>1</v>
      </c>
      <c r="I173" s="303" t="s">
        <v>3292</v>
      </c>
      <c r="J173" s="154" t="s">
        <v>1483</v>
      </c>
      <c r="K173" s="49"/>
      <c r="L173" s="49"/>
      <c r="M173" s="49"/>
      <c r="N173" s="49"/>
      <c r="O173" s="49"/>
      <c r="P173" s="49"/>
      <c r="Q173" s="49"/>
      <c r="R173" s="92"/>
    </row>
    <row r="174" spans="1:18" x14ac:dyDescent="0.25">
      <c r="A174" s="92" t="s">
        <v>4817</v>
      </c>
      <c r="B174" s="93"/>
      <c r="C174" s="92" t="s">
        <v>4818</v>
      </c>
      <c r="D174" s="92" t="s">
        <v>4786</v>
      </c>
      <c r="E174" s="20" t="s">
        <v>4819</v>
      </c>
      <c r="F174" s="94"/>
      <c r="G174" s="95"/>
      <c r="H174" s="96">
        <v>0</v>
      </c>
      <c r="I174" s="301" t="s">
        <v>4820</v>
      </c>
      <c r="J174" s="302"/>
      <c r="K174" s="92"/>
      <c r="L174" s="92"/>
      <c r="M174" s="92"/>
      <c r="N174" s="92"/>
      <c r="O174" s="92"/>
      <c r="P174" s="92"/>
      <c r="Q174" s="92"/>
      <c r="R174" s="49"/>
    </row>
    <row r="175" spans="1:18" s="307" customFormat="1" x14ac:dyDescent="0.25">
      <c r="A175" s="85" t="s">
        <v>4821</v>
      </c>
      <c r="B175" s="86"/>
      <c r="C175" s="85" t="s">
        <v>4668</v>
      </c>
      <c r="D175" s="106" t="s">
        <v>2748</v>
      </c>
      <c r="E175" s="106" t="s">
        <v>4822</v>
      </c>
      <c r="F175" s="88"/>
      <c r="G175" s="89"/>
      <c r="H175" s="90">
        <v>0</v>
      </c>
      <c r="I175" s="91" t="s">
        <v>1055</v>
      </c>
      <c r="J175" s="207" t="s">
        <v>1902</v>
      </c>
      <c r="K175" s="85"/>
      <c r="L175" s="85"/>
      <c r="M175" s="85"/>
      <c r="N175" s="85"/>
      <c r="O175" s="85"/>
      <c r="P175" s="85"/>
      <c r="Q175" s="85"/>
      <c r="R175" s="85"/>
    </row>
    <row r="176" spans="1:18" x14ac:dyDescent="0.25">
      <c r="A176" s="49" t="s">
        <v>4823</v>
      </c>
      <c r="B176" s="103"/>
      <c r="C176" s="49" t="s">
        <v>4646</v>
      </c>
      <c r="D176" s="74" t="s">
        <v>4824</v>
      </c>
      <c r="E176" s="49" t="s">
        <v>4825</v>
      </c>
      <c r="F176" s="112"/>
      <c r="G176" s="113"/>
      <c r="H176" s="39">
        <v>3</v>
      </c>
      <c r="I176" s="114"/>
      <c r="J176" s="154"/>
      <c r="K176" s="49"/>
      <c r="L176" s="49"/>
      <c r="M176" s="49"/>
      <c r="N176" s="49"/>
      <c r="O176" s="49"/>
      <c r="P176" s="49"/>
      <c r="Q176" s="49"/>
      <c r="R176" s="49"/>
    </row>
    <row r="177" spans="1:18" x14ac:dyDescent="0.25">
      <c r="A177" s="49" t="s">
        <v>4826</v>
      </c>
      <c r="B177" s="103"/>
      <c r="C177" s="49" t="s">
        <v>4646</v>
      </c>
      <c r="D177" s="74" t="s">
        <v>4824</v>
      </c>
      <c r="E177" s="49" t="s">
        <v>4827</v>
      </c>
      <c r="F177" s="112"/>
      <c r="G177" s="113"/>
      <c r="H177" s="39">
        <v>1</v>
      </c>
      <c r="I177" s="114" t="s">
        <v>736</v>
      </c>
      <c r="J177" s="154"/>
      <c r="K177" s="49"/>
      <c r="L177" s="49"/>
      <c r="M177" s="49"/>
      <c r="N177" s="49"/>
      <c r="O177" s="49"/>
      <c r="P177" s="49"/>
      <c r="Q177" s="49"/>
      <c r="R177" s="49"/>
    </row>
    <row r="178" spans="1:18" x14ac:dyDescent="0.25">
      <c r="A178" s="49" t="s">
        <v>4828</v>
      </c>
      <c r="B178" s="103"/>
      <c r="C178" s="49" t="s">
        <v>4668</v>
      </c>
      <c r="D178" s="74" t="s">
        <v>4466</v>
      </c>
      <c r="E178" s="49" t="s">
        <v>4829</v>
      </c>
      <c r="F178" s="112"/>
      <c r="G178" s="113"/>
      <c r="H178" s="39">
        <v>5</v>
      </c>
      <c r="I178" s="114"/>
      <c r="J178" s="154"/>
      <c r="K178" s="49"/>
      <c r="L178" s="49"/>
      <c r="M178" s="49"/>
      <c r="N178" s="49"/>
      <c r="O178" s="49"/>
      <c r="P178" s="49"/>
      <c r="Q178" s="49"/>
      <c r="R178" s="49"/>
    </row>
    <row r="179" spans="1:18" x14ac:dyDescent="0.25">
      <c r="A179" s="49" t="s">
        <v>4830</v>
      </c>
      <c r="B179" s="103"/>
      <c r="C179" s="49" t="s">
        <v>4668</v>
      </c>
      <c r="D179" s="74"/>
      <c r="E179" s="49" t="s">
        <v>4831</v>
      </c>
      <c r="F179" s="112"/>
      <c r="G179" s="113"/>
      <c r="H179" s="39">
        <v>6</v>
      </c>
      <c r="I179" s="114"/>
      <c r="J179" s="154"/>
      <c r="K179" s="49"/>
      <c r="L179" s="49"/>
      <c r="M179" s="49"/>
      <c r="N179" s="49"/>
      <c r="O179" s="49"/>
      <c r="P179" s="49"/>
      <c r="Q179" s="49"/>
      <c r="R179" s="49"/>
    </row>
    <row r="180" spans="1:18" x14ac:dyDescent="0.25">
      <c r="A180" s="49" t="s">
        <v>4832</v>
      </c>
      <c r="B180" s="103"/>
      <c r="C180" s="49" t="s">
        <v>4668</v>
      </c>
      <c r="D180" s="74"/>
      <c r="E180" s="49" t="s">
        <v>4833</v>
      </c>
      <c r="F180" s="112"/>
      <c r="G180" s="113"/>
      <c r="H180" s="39">
        <v>6</v>
      </c>
      <c r="I180" s="114"/>
      <c r="J180" s="154"/>
      <c r="K180" s="49"/>
      <c r="L180" s="49"/>
      <c r="M180" s="49"/>
      <c r="N180" s="49"/>
      <c r="O180" s="49"/>
      <c r="P180" s="49"/>
      <c r="Q180" s="49"/>
      <c r="R180" s="49"/>
    </row>
    <row r="181" spans="1:18" x14ac:dyDescent="0.25">
      <c r="A181" s="49" t="s">
        <v>4834</v>
      </c>
      <c r="B181" s="103"/>
      <c r="C181" s="49" t="s">
        <v>4668</v>
      </c>
      <c r="D181" s="74"/>
      <c r="E181" s="49" t="s">
        <v>4835</v>
      </c>
      <c r="F181" s="112"/>
      <c r="G181" s="113"/>
      <c r="H181" s="39">
        <v>2</v>
      </c>
      <c r="I181" s="114" t="s">
        <v>1391</v>
      </c>
      <c r="J181" s="154" t="s">
        <v>4836</v>
      </c>
      <c r="K181" s="49"/>
      <c r="L181" s="49"/>
      <c r="M181" s="49"/>
      <c r="N181" s="49"/>
      <c r="O181" s="49"/>
      <c r="P181" s="49"/>
      <c r="Q181" s="49"/>
      <c r="R181" s="49"/>
    </row>
    <row r="182" spans="1:18" x14ac:dyDescent="0.25">
      <c r="A182" s="49" t="s">
        <v>4837</v>
      </c>
      <c r="B182" s="103"/>
      <c r="C182" s="49" t="s">
        <v>4668</v>
      </c>
      <c r="D182" s="74" t="s">
        <v>4466</v>
      </c>
      <c r="E182" s="49" t="s">
        <v>4838</v>
      </c>
      <c r="F182" s="112"/>
      <c r="G182" s="113"/>
      <c r="H182" s="39">
        <v>5</v>
      </c>
      <c r="I182" s="114" t="s">
        <v>4839</v>
      </c>
      <c r="J182" s="154"/>
      <c r="K182" s="49"/>
      <c r="L182" s="49"/>
      <c r="M182" s="49"/>
      <c r="N182" s="49"/>
      <c r="O182" s="49"/>
      <c r="P182" s="49"/>
      <c r="Q182" s="49"/>
      <c r="R182" s="49"/>
    </row>
    <row r="183" spans="1:18" x14ac:dyDescent="0.25">
      <c r="A183" s="49" t="s">
        <v>4840</v>
      </c>
      <c r="B183" s="103"/>
      <c r="C183" s="49" t="s">
        <v>4668</v>
      </c>
      <c r="D183" s="74" t="s">
        <v>4466</v>
      </c>
      <c r="E183" s="49" t="s">
        <v>4841</v>
      </c>
      <c r="F183" s="112"/>
      <c r="G183" s="113"/>
      <c r="H183" s="39">
        <v>6</v>
      </c>
      <c r="I183" s="114" t="s">
        <v>4839</v>
      </c>
      <c r="J183" s="154"/>
      <c r="K183" s="49"/>
      <c r="L183" s="49"/>
      <c r="M183" s="49"/>
      <c r="N183" s="49"/>
      <c r="O183" s="49"/>
      <c r="P183" s="49"/>
      <c r="Q183" s="49"/>
      <c r="R183" s="49"/>
    </row>
    <row r="184" spans="1:18" x14ac:dyDescent="0.25">
      <c r="A184" s="49" t="s">
        <v>4842</v>
      </c>
      <c r="B184" s="103"/>
      <c r="C184" s="49" t="s">
        <v>4668</v>
      </c>
      <c r="D184" s="74"/>
      <c r="E184" s="49" t="s">
        <v>4843</v>
      </c>
      <c r="F184" s="112"/>
      <c r="G184" s="113"/>
      <c r="H184" s="39">
        <v>6</v>
      </c>
      <c r="I184" s="114"/>
      <c r="J184" s="154"/>
      <c r="K184" s="49"/>
      <c r="L184" s="49"/>
      <c r="M184" s="49"/>
      <c r="N184" s="49"/>
      <c r="O184" s="49"/>
      <c r="P184" s="49"/>
      <c r="Q184" s="49"/>
      <c r="R184" s="49"/>
    </row>
    <row r="185" spans="1:18" x14ac:dyDescent="0.25">
      <c r="A185" s="49" t="s">
        <v>4844</v>
      </c>
      <c r="B185" s="103"/>
      <c r="C185" s="49" t="s">
        <v>4668</v>
      </c>
      <c r="D185" s="74"/>
      <c r="E185" s="49" t="s">
        <v>4845</v>
      </c>
      <c r="F185" s="112"/>
      <c r="G185" s="113"/>
      <c r="H185" s="39">
        <v>4</v>
      </c>
      <c r="I185" s="114"/>
      <c r="J185" s="154"/>
      <c r="K185" s="49"/>
      <c r="L185" s="49"/>
      <c r="M185" s="49"/>
      <c r="N185" s="49"/>
      <c r="O185" s="49"/>
      <c r="P185" s="49"/>
      <c r="Q185" s="49"/>
      <c r="R185" s="49"/>
    </row>
    <row r="186" spans="1:18" s="285" customFormat="1" x14ac:dyDescent="0.25">
      <c r="A186" s="92" t="s">
        <v>4846</v>
      </c>
      <c r="B186" s="93"/>
      <c r="C186" s="92" t="s">
        <v>4668</v>
      </c>
      <c r="D186" s="20"/>
      <c r="E186" s="92" t="s">
        <v>4847</v>
      </c>
      <c r="F186" s="94"/>
      <c r="G186" s="95"/>
      <c r="H186" s="96">
        <v>0</v>
      </c>
      <c r="I186" s="301" t="s">
        <v>266</v>
      </c>
      <c r="J186" s="302"/>
      <c r="K186" s="92"/>
      <c r="L186" s="92"/>
      <c r="M186" s="92"/>
      <c r="N186" s="92"/>
      <c r="O186" s="92"/>
      <c r="P186" s="92"/>
      <c r="Q186" s="92"/>
      <c r="R186" s="92"/>
    </row>
    <row r="187" spans="1:18" x14ac:dyDescent="0.25">
      <c r="A187" s="49" t="s">
        <v>4848</v>
      </c>
      <c r="B187" s="103"/>
      <c r="C187" s="49" t="s">
        <v>4668</v>
      </c>
      <c r="D187" s="74"/>
      <c r="E187" s="49" t="s">
        <v>4849</v>
      </c>
      <c r="F187" s="112"/>
      <c r="G187" s="113"/>
      <c r="H187" s="39">
        <v>2</v>
      </c>
      <c r="I187" s="114" t="s">
        <v>4850</v>
      </c>
      <c r="J187" s="154"/>
      <c r="K187" s="49"/>
      <c r="L187" s="49"/>
      <c r="M187" s="49"/>
      <c r="N187" s="49"/>
      <c r="O187" s="49"/>
      <c r="P187" s="49"/>
      <c r="Q187" s="49"/>
      <c r="R187" s="49"/>
    </row>
    <row r="188" spans="1:18" x14ac:dyDescent="0.25">
      <c r="A188" s="49" t="s">
        <v>4851</v>
      </c>
      <c r="B188" s="103"/>
      <c r="C188" s="49" t="s">
        <v>4668</v>
      </c>
      <c r="D188" s="74"/>
      <c r="E188" s="49" t="s">
        <v>4852</v>
      </c>
      <c r="F188" s="112"/>
      <c r="G188" s="113"/>
      <c r="H188" s="39">
        <v>6</v>
      </c>
      <c r="I188" s="114"/>
      <c r="J188" s="154"/>
      <c r="K188" s="49"/>
      <c r="L188" s="49"/>
      <c r="M188" s="49"/>
      <c r="N188" s="49"/>
      <c r="O188" s="49"/>
      <c r="P188" s="49"/>
      <c r="Q188" s="49"/>
      <c r="R188" s="49"/>
    </row>
    <row r="189" spans="1:18" x14ac:dyDescent="0.25">
      <c r="A189" s="49" t="s">
        <v>4853</v>
      </c>
      <c r="B189" s="103"/>
      <c r="C189" s="49" t="s">
        <v>4668</v>
      </c>
      <c r="D189" s="74"/>
      <c r="E189" s="49" t="s">
        <v>4854</v>
      </c>
      <c r="F189" s="112"/>
      <c r="G189" s="113"/>
      <c r="H189" s="39">
        <v>35</v>
      </c>
      <c r="I189" s="114"/>
      <c r="J189" s="154"/>
      <c r="K189" s="49"/>
      <c r="L189" s="49"/>
      <c r="M189" s="49"/>
      <c r="N189" s="49"/>
      <c r="O189" s="49"/>
      <c r="P189" s="49"/>
      <c r="Q189" s="49"/>
      <c r="R189" s="49"/>
    </row>
    <row r="190" spans="1:18" x14ac:dyDescent="0.25">
      <c r="A190" s="49" t="s">
        <v>4855</v>
      </c>
      <c r="B190" s="103"/>
      <c r="C190" s="49" t="s">
        <v>4668</v>
      </c>
      <c r="D190" s="74"/>
      <c r="E190" s="49" t="s">
        <v>4856</v>
      </c>
      <c r="F190" s="112"/>
      <c r="G190" s="113"/>
      <c r="H190" s="39">
        <v>4</v>
      </c>
      <c r="I190" s="114" t="s">
        <v>1799</v>
      </c>
      <c r="J190" s="154" t="s">
        <v>2583</v>
      </c>
      <c r="K190" s="49"/>
      <c r="L190" s="49"/>
      <c r="M190" s="49"/>
      <c r="N190" s="49"/>
      <c r="O190" s="49"/>
      <c r="P190" s="49"/>
      <c r="Q190" s="49"/>
      <c r="R190" s="49"/>
    </row>
    <row r="191" spans="1:18" x14ac:dyDescent="0.25">
      <c r="A191" s="49" t="s">
        <v>4857</v>
      </c>
      <c r="B191" s="103"/>
      <c r="C191" s="49" t="s">
        <v>4668</v>
      </c>
      <c r="D191" s="74"/>
      <c r="E191" s="49" t="s">
        <v>4858</v>
      </c>
      <c r="F191" s="112"/>
      <c r="G191" s="113"/>
      <c r="H191" s="39">
        <v>424</v>
      </c>
      <c r="I191" s="114"/>
      <c r="J191" s="154"/>
      <c r="K191" s="49"/>
      <c r="L191" s="49"/>
      <c r="M191" s="49"/>
      <c r="N191" s="49"/>
      <c r="O191" s="49"/>
      <c r="P191" s="49"/>
      <c r="Q191" s="49"/>
      <c r="R191" s="49"/>
    </row>
    <row r="192" spans="1:18" x14ac:dyDescent="0.25">
      <c r="A192" s="49" t="s">
        <v>4859</v>
      </c>
      <c r="B192" s="103"/>
      <c r="C192" s="49" t="s">
        <v>4668</v>
      </c>
      <c r="D192" s="74"/>
      <c r="E192" s="49" t="s">
        <v>4860</v>
      </c>
      <c r="F192" s="112"/>
      <c r="G192" s="113"/>
      <c r="H192" s="96">
        <v>0</v>
      </c>
      <c r="I192" s="114" t="s">
        <v>4861</v>
      </c>
      <c r="J192" s="154" t="s">
        <v>806</v>
      </c>
      <c r="K192" s="49" t="s">
        <v>4496</v>
      </c>
      <c r="L192" s="49"/>
      <c r="M192" s="49"/>
      <c r="N192" s="49"/>
      <c r="O192" s="49"/>
      <c r="P192" s="49"/>
      <c r="Q192" s="49"/>
      <c r="R192" s="49"/>
    </row>
    <row r="193" spans="1:18" x14ac:dyDescent="0.25">
      <c r="A193" s="49" t="s">
        <v>4862</v>
      </c>
      <c r="B193" s="103"/>
      <c r="C193" s="49" t="s">
        <v>4668</v>
      </c>
      <c r="D193" s="74"/>
      <c r="E193" s="49" t="s">
        <v>4863</v>
      </c>
      <c r="F193" s="112"/>
      <c r="G193" s="113"/>
      <c r="H193" s="39">
        <v>5</v>
      </c>
      <c r="I193" s="114"/>
      <c r="J193" s="154"/>
      <c r="K193" s="49"/>
      <c r="L193" s="49"/>
      <c r="M193" s="49"/>
      <c r="N193" s="49"/>
      <c r="O193" s="49"/>
      <c r="P193" s="49"/>
      <c r="Q193" s="49"/>
      <c r="R193" s="49"/>
    </row>
    <row r="194" spans="1:18" s="285" customFormat="1" x14ac:dyDescent="0.25">
      <c r="A194" s="92" t="s">
        <v>4864</v>
      </c>
      <c r="B194" s="93"/>
      <c r="C194" s="92" t="s">
        <v>4668</v>
      </c>
      <c r="D194" s="20"/>
      <c r="E194" s="20" t="s">
        <v>4865</v>
      </c>
      <c r="F194" s="94"/>
      <c r="G194" s="95"/>
      <c r="H194" s="96">
        <v>0</v>
      </c>
      <c r="I194" s="97" t="s">
        <v>4866</v>
      </c>
      <c r="J194" s="302"/>
      <c r="K194" s="92"/>
      <c r="L194" s="92"/>
      <c r="M194" s="92"/>
      <c r="N194" s="92"/>
      <c r="O194" s="92"/>
      <c r="P194" s="92"/>
      <c r="Q194" s="92"/>
      <c r="R194" s="92"/>
    </row>
    <row r="195" spans="1:18" x14ac:dyDescent="0.25">
      <c r="A195" s="49" t="s">
        <v>4867</v>
      </c>
      <c r="B195" s="103"/>
      <c r="C195" s="49" t="s">
        <v>4668</v>
      </c>
      <c r="D195" s="74"/>
      <c r="E195" s="74" t="s">
        <v>4868</v>
      </c>
      <c r="F195" s="112"/>
      <c r="G195" s="113"/>
      <c r="H195" s="39">
        <v>1</v>
      </c>
      <c r="I195" s="114" t="s">
        <v>2853</v>
      </c>
      <c r="J195" s="154"/>
      <c r="K195" s="49"/>
      <c r="L195" s="49"/>
      <c r="M195" s="49"/>
      <c r="N195" s="49"/>
      <c r="O195" s="49"/>
      <c r="P195" s="49"/>
      <c r="Q195" s="49"/>
      <c r="R195" s="49"/>
    </row>
    <row r="196" spans="1:18" x14ac:dyDescent="0.25">
      <c r="A196" s="49" t="s">
        <v>4869</v>
      </c>
      <c r="B196" s="103"/>
      <c r="C196" s="49" t="s">
        <v>4668</v>
      </c>
      <c r="D196" s="49"/>
      <c r="E196" s="49" t="s">
        <v>4870</v>
      </c>
      <c r="F196" s="112"/>
      <c r="G196" s="113"/>
      <c r="H196" s="39">
        <v>8</v>
      </c>
      <c r="I196" s="114"/>
      <c r="J196" s="154"/>
      <c r="K196" s="49"/>
      <c r="L196" s="49"/>
      <c r="M196" s="49"/>
      <c r="N196" s="49"/>
      <c r="O196" s="49"/>
      <c r="P196" s="49"/>
      <c r="Q196" s="49"/>
      <c r="R196" s="49"/>
    </row>
    <row r="197" spans="1:18" x14ac:dyDescent="0.25">
      <c r="A197" s="49" t="s">
        <v>4871</v>
      </c>
      <c r="B197" s="103"/>
      <c r="C197" s="49" t="s">
        <v>4668</v>
      </c>
      <c r="D197" s="49"/>
      <c r="E197" s="49" t="s">
        <v>4872</v>
      </c>
      <c r="F197" s="112"/>
      <c r="G197" s="113"/>
      <c r="H197" s="39">
        <v>5</v>
      </c>
      <c r="I197" s="114"/>
      <c r="J197" s="154"/>
      <c r="K197" s="49"/>
      <c r="L197" s="49"/>
      <c r="M197" s="49"/>
      <c r="N197" s="49"/>
      <c r="O197" s="49"/>
      <c r="P197" s="49"/>
      <c r="Q197" s="49"/>
      <c r="R197" s="49"/>
    </row>
    <row r="198" spans="1:18" x14ac:dyDescent="0.25">
      <c r="A198" s="49" t="s">
        <v>4873</v>
      </c>
      <c r="B198" s="103"/>
      <c r="C198" s="49" t="s">
        <v>4668</v>
      </c>
      <c r="D198" s="49" t="s">
        <v>4433</v>
      </c>
      <c r="E198" s="49" t="s">
        <v>4874</v>
      </c>
      <c r="F198" s="112"/>
      <c r="G198" s="113"/>
      <c r="H198" s="39">
        <v>20</v>
      </c>
      <c r="I198" s="114" t="s">
        <v>4626</v>
      </c>
      <c r="J198" s="154" t="s">
        <v>1015</v>
      </c>
      <c r="K198" s="49" t="s">
        <v>3007</v>
      </c>
      <c r="L198" s="49"/>
      <c r="M198" s="49"/>
      <c r="N198" s="49"/>
      <c r="O198" s="49"/>
      <c r="P198" s="49"/>
      <c r="Q198" s="49"/>
      <c r="R198" s="49"/>
    </row>
    <row r="199" spans="1:18" s="285" customFormat="1" x14ac:dyDescent="0.25">
      <c r="A199" s="92" t="s">
        <v>4875</v>
      </c>
      <c r="B199" s="93"/>
      <c r="C199" s="92" t="s">
        <v>4876</v>
      </c>
      <c r="D199" s="92"/>
      <c r="E199" s="92" t="s">
        <v>4877</v>
      </c>
      <c r="F199" s="94"/>
      <c r="G199" s="95"/>
      <c r="H199" s="96">
        <v>0</v>
      </c>
      <c r="I199" s="301" t="s">
        <v>267</v>
      </c>
      <c r="J199" s="302"/>
      <c r="K199" s="92"/>
      <c r="L199" s="92"/>
      <c r="M199" s="92"/>
      <c r="N199" s="92"/>
      <c r="O199" s="92"/>
      <c r="P199" s="92"/>
      <c r="Q199" s="92"/>
      <c r="R199" s="92"/>
    </row>
    <row r="200" spans="1:18" s="285" customFormat="1" x14ac:dyDescent="0.25">
      <c r="A200" s="92" t="s">
        <v>4878</v>
      </c>
      <c r="B200" s="93"/>
      <c r="C200" s="92" t="s">
        <v>4876</v>
      </c>
      <c r="D200" s="92"/>
      <c r="E200" s="92" t="s">
        <v>4879</v>
      </c>
      <c r="F200" s="94"/>
      <c r="G200" s="95"/>
      <c r="H200" s="96">
        <v>0</v>
      </c>
      <c r="I200" s="301" t="s">
        <v>598</v>
      </c>
      <c r="J200" s="304"/>
      <c r="K200" s="92"/>
      <c r="L200" s="92"/>
      <c r="M200" s="92"/>
      <c r="N200" s="92"/>
      <c r="O200" s="92"/>
      <c r="P200" s="92"/>
      <c r="Q200" s="92"/>
      <c r="R200" s="92"/>
    </row>
    <row r="201" spans="1:18" s="285" customFormat="1" x14ac:dyDescent="0.25">
      <c r="A201" s="92" t="s">
        <v>4880</v>
      </c>
      <c r="B201" s="93"/>
      <c r="C201" s="92" t="s">
        <v>4876</v>
      </c>
      <c r="D201" s="92"/>
      <c r="E201" s="92" t="s">
        <v>4881</v>
      </c>
      <c r="F201" s="94"/>
      <c r="G201" s="95"/>
      <c r="H201" s="96">
        <v>0</v>
      </c>
      <c r="I201" s="301" t="s">
        <v>267</v>
      </c>
      <c r="J201" s="302"/>
      <c r="K201" s="92"/>
      <c r="L201" s="92"/>
      <c r="M201" s="92"/>
      <c r="N201" s="92"/>
      <c r="O201" s="92"/>
      <c r="P201" s="92"/>
      <c r="Q201" s="92"/>
      <c r="R201" s="92"/>
    </row>
    <row r="202" spans="1:18" x14ac:dyDescent="0.25">
      <c r="A202" s="49" t="s">
        <v>4882</v>
      </c>
      <c r="B202" s="103"/>
      <c r="C202" s="49" t="s">
        <v>4883</v>
      </c>
      <c r="D202" s="49"/>
      <c r="E202" s="49" t="s">
        <v>4884</v>
      </c>
      <c r="F202" s="112"/>
      <c r="G202" s="113"/>
      <c r="H202" s="39">
        <v>6</v>
      </c>
      <c r="I202" s="114"/>
      <c r="J202" s="154"/>
      <c r="K202" s="49"/>
      <c r="L202" s="49"/>
      <c r="M202" s="49"/>
      <c r="N202" s="49"/>
      <c r="O202" s="49"/>
      <c r="P202" s="49"/>
      <c r="Q202" s="49"/>
      <c r="R202" s="49"/>
    </row>
    <row r="203" spans="1:18" x14ac:dyDescent="0.25">
      <c r="A203" s="49" t="s">
        <v>4885</v>
      </c>
      <c r="B203" s="103"/>
      <c r="C203" s="49" t="s">
        <v>4876</v>
      </c>
      <c r="D203" s="49"/>
      <c r="E203" s="49" t="s">
        <v>4886</v>
      </c>
      <c r="F203" s="112"/>
      <c r="G203" s="113"/>
      <c r="H203" s="39">
        <v>2</v>
      </c>
      <c r="I203" s="114"/>
      <c r="J203" s="154"/>
      <c r="K203" s="49"/>
      <c r="L203" s="49"/>
      <c r="M203" s="49"/>
      <c r="N203" s="49"/>
      <c r="O203" s="49"/>
      <c r="P203" s="49"/>
      <c r="Q203" s="49"/>
      <c r="R203" s="49"/>
    </row>
    <row r="204" spans="1:18" x14ac:dyDescent="0.25">
      <c r="A204" s="49" t="s">
        <v>4887</v>
      </c>
      <c r="B204" s="103"/>
      <c r="C204" s="49" t="s">
        <v>4883</v>
      </c>
      <c r="D204" s="49"/>
      <c r="E204" s="49" t="s">
        <v>4888</v>
      </c>
      <c r="F204" s="154"/>
      <c r="G204" s="113"/>
      <c r="H204" s="39">
        <v>7</v>
      </c>
      <c r="I204" s="303"/>
      <c r="J204" s="298"/>
      <c r="K204" s="49"/>
      <c r="L204" s="49"/>
      <c r="M204" s="49"/>
      <c r="N204" s="49"/>
      <c r="O204" s="49"/>
      <c r="P204" s="49"/>
      <c r="Q204" s="49"/>
      <c r="R204" s="49"/>
    </row>
    <row r="205" spans="1:18" x14ac:dyDescent="0.25">
      <c r="A205" s="49" t="s">
        <v>4889</v>
      </c>
      <c r="B205" s="103"/>
      <c r="C205" s="49" t="s">
        <v>4883</v>
      </c>
      <c r="D205" s="49"/>
      <c r="E205" s="49" t="s">
        <v>4890</v>
      </c>
      <c r="F205" s="112"/>
      <c r="G205" s="113"/>
      <c r="H205" s="39">
        <v>18</v>
      </c>
      <c r="I205" s="114"/>
      <c r="J205" s="298"/>
      <c r="K205" s="49"/>
      <c r="L205" s="49"/>
      <c r="M205" s="49"/>
      <c r="N205" s="49"/>
      <c r="O205" s="49"/>
      <c r="P205" s="49"/>
      <c r="Q205" s="49"/>
      <c r="R205" s="49"/>
    </row>
    <row r="206" spans="1:18" x14ac:dyDescent="0.25">
      <c r="A206" s="49" t="s">
        <v>4891</v>
      </c>
      <c r="B206" s="103"/>
      <c r="C206" s="49" t="s">
        <v>4876</v>
      </c>
      <c r="D206" s="49"/>
      <c r="E206" s="49" t="s">
        <v>4892</v>
      </c>
      <c r="F206" s="112"/>
      <c r="G206" s="113"/>
      <c r="H206" s="39">
        <v>2</v>
      </c>
      <c r="I206" s="114"/>
      <c r="J206" s="298"/>
      <c r="K206" s="49"/>
      <c r="L206" s="49"/>
      <c r="M206" s="49"/>
      <c r="N206" s="49"/>
      <c r="O206" s="49"/>
      <c r="P206" s="49"/>
      <c r="Q206" s="49"/>
      <c r="R206" s="49"/>
    </row>
    <row r="207" spans="1:18" x14ac:dyDescent="0.25">
      <c r="A207" s="49" t="s">
        <v>4893</v>
      </c>
      <c r="B207" s="103"/>
      <c r="C207" s="49" t="s">
        <v>4876</v>
      </c>
      <c r="D207" s="49"/>
      <c r="E207" s="49" t="s">
        <v>4894</v>
      </c>
      <c r="F207" s="112"/>
      <c r="G207" s="113"/>
      <c r="H207" s="39">
        <v>2</v>
      </c>
      <c r="I207" s="114"/>
      <c r="J207" s="154"/>
      <c r="K207" s="49"/>
      <c r="L207" s="49"/>
      <c r="M207" s="49"/>
      <c r="N207" s="49"/>
      <c r="O207" s="49"/>
      <c r="P207" s="49"/>
      <c r="Q207" s="49"/>
      <c r="R207" s="49"/>
    </row>
    <row r="208" spans="1:18" x14ac:dyDescent="0.25">
      <c r="A208" s="49" t="s">
        <v>4895</v>
      </c>
      <c r="B208" s="103"/>
      <c r="C208" s="49" t="s">
        <v>4896</v>
      </c>
      <c r="D208" s="74"/>
      <c r="E208" s="49" t="s">
        <v>4897</v>
      </c>
      <c r="F208" s="112"/>
      <c r="G208" s="113"/>
      <c r="H208" s="39">
        <v>30</v>
      </c>
      <c r="I208" s="303" t="s">
        <v>4898</v>
      </c>
      <c r="J208" s="154"/>
      <c r="K208" s="49"/>
      <c r="L208" s="49"/>
      <c r="M208" s="305"/>
      <c r="N208" s="49"/>
      <c r="O208" s="49"/>
      <c r="P208" s="49"/>
      <c r="Q208" s="49"/>
      <c r="R208" s="49"/>
    </row>
    <row r="209" spans="1:18" x14ac:dyDescent="0.25">
      <c r="A209" s="49" t="s">
        <v>4899</v>
      </c>
      <c r="B209" s="103"/>
      <c r="C209" s="49" t="s">
        <v>4900</v>
      </c>
      <c r="D209" s="49"/>
      <c r="E209" s="49" t="s">
        <v>4901</v>
      </c>
      <c r="F209" s="112"/>
      <c r="G209" s="113"/>
      <c r="H209" s="39">
        <v>25</v>
      </c>
      <c r="I209" s="114"/>
      <c r="J209" s="154"/>
      <c r="K209" s="49"/>
      <c r="L209" s="49"/>
      <c r="M209" s="49"/>
      <c r="N209" s="49"/>
      <c r="O209" s="49"/>
      <c r="P209" s="49"/>
      <c r="Q209" s="49"/>
      <c r="R209" s="49"/>
    </row>
    <row r="210" spans="1:18" x14ac:dyDescent="0.25">
      <c r="A210" s="299" t="s">
        <v>4902</v>
      </c>
      <c r="B210" s="151"/>
      <c r="C210" s="49" t="s">
        <v>4900</v>
      </c>
      <c r="D210" s="49"/>
      <c r="E210" s="49" t="s">
        <v>4903</v>
      </c>
      <c r="F210" s="112"/>
      <c r="G210" s="113"/>
      <c r="H210" s="39">
        <v>122</v>
      </c>
      <c r="I210" s="114"/>
      <c r="J210" s="154"/>
      <c r="K210" s="49"/>
      <c r="L210" s="49"/>
      <c r="M210" s="49"/>
      <c r="N210" s="49"/>
      <c r="O210" s="49"/>
      <c r="P210" s="49"/>
      <c r="Q210" s="49"/>
      <c r="R210" s="49"/>
    </row>
    <row r="211" spans="1:18" x14ac:dyDescent="0.25">
      <c r="A211" s="299" t="s">
        <v>4904</v>
      </c>
      <c r="B211" s="151"/>
      <c r="C211" s="49" t="s">
        <v>4649</v>
      </c>
      <c r="D211" s="49" t="s">
        <v>4905</v>
      </c>
      <c r="E211" s="49" t="s">
        <v>4906</v>
      </c>
      <c r="F211" s="112"/>
      <c r="G211" s="113"/>
      <c r="H211" s="39">
        <v>32</v>
      </c>
      <c r="I211" s="114" t="s">
        <v>4907</v>
      </c>
      <c r="J211" s="154" t="s">
        <v>219</v>
      </c>
      <c r="K211" s="49"/>
      <c r="L211" s="49"/>
      <c r="M211" s="49"/>
      <c r="N211" s="49"/>
      <c r="O211" s="49"/>
      <c r="P211" s="49"/>
      <c r="Q211" s="49"/>
      <c r="R211" s="49"/>
    </row>
    <row r="212" spans="1:18" x14ac:dyDescent="0.25">
      <c r="A212" s="299" t="s">
        <v>4908</v>
      </c>
      <c r="B212" s="151"/>
      <c r="C212" s="49" t="s">
        <v>4649</v>
      </c>
      <c r="D212" s="49" t="s">
        <v>4905</v>
      </c>
      <c r="E212" s="49" t="s">
        <v>4909</v>
      </c>
      <c r="F212" s="112"/>
      <c r="G212" s="113"/>
      <c r="H212" s="39">
        <v>24</v>
      </c>
      <c r="I212" s="114" t="s">
        <v>219</v>
      </c>
      <c r="J212" s="154"/>
      <c r="K212" s="49"/>
      <c r="L212" s="49"/>
      <c r="M212" s="49"/>
      <c r="N212" s="49"/>
      <c r="O212" s="49"/>
      <c r="P212" s="49"/>
      <c r="Q212" s="49"/>
      <c r="R212" s="49"/>
    </row>
    <row r="213" spans="1:18" x14ac:dyDescent="0.25">
      <c r="A213" s="49" t="s">
        <v>4910</v>
      </c>
      <c r="B213" s="308"/>
      <c r="C213" s="49" t="s">
        <v>4649</v>
      </c>
      <c r="D213" s="49" t="s">
        <v>4905</v>
      </c>
      <c r="E213" s="49" t="s">
        <v>4911</v>
      </c>
      <c r="F213" s="112"/>
      <c r="G213" s="113"/>
      <c r="H213" s="39">
        <v>11</v>
      </c>
      <c r="I213" s="114"/>
      <c r="J213" s="154"/>
      <c r="K213" s="49"/>
      <c r="L213" s="49"/>
      <c r="M213" s="49"/>
      <c r="N213" s="49"/>
      <c r="O213" s="49"/>
      <c r="P213" s="49"/>
      <c r="Q213" s="49"/>
      <c r="R213" s="49"/>
    </row>
    <row r="214" spans="1:18" x14ac:dyDescent="0.25">
      <c r="A214" s="299" t="s">
        <v>4912</v>
      </c>
      <c r="B214" s="151"/>
      <c r="C214" s="49" t="s">
        <v>4649</v>
      </c>
      <c r="D214" s="49" t="s">
        <v>4905</v>
      </c>
      <c r="E214" s="49" t="s">
        <v>4913</v>
      </c>
      <c r="F214" s="154"/>
      <c r="G214" s="113"/>
      <c r="H214" s="39">
        <v>54</v>
      </c>
      <c r="I214" s="114"/>
      <c r="J214" s="154"/>
      <c r="K214" s="49"/>
      <c r="L214" s="49"/>
      <c r="M214" s="49"/>
      <c r="N214" s="49"/>
      <c r="O214" s="49"/>
      <c r="P214" s="49"/>
      <c r="Q214" s="49"/>
      <c r="R214" s="49"/>
    </row>
    <row r="215" spans="1:18" x14ac:dyDescent="0.25">
      <c r="A215" s="299" t="s">
        <v>4914</v>
      </c>
      <c r="B215" s="151"/>
      <c r="C215" s="49" t="s">
        <v>4649</v>
      </c>
      <c r="D215" s="49" t="s">
        <v>4905</v>
      </c>
      <c r="E215" s="49" t="s">
        <v>4915</v>
      </c>
      <c r="F215" s="154"/>
      <c r="G215" s="113"/>
      <c r="H215" s="39">
        <v>37</v>
      </c>
      <c r="I215" s="114" t="s">
        <v>2454</v>
      </c>
      <c r="J215" s="154"/>
      <c r="K215" s="49"/>
      <c r="L215" s="299"/>
      <c r="M215" s="49"/>
      <c r="N215" s="49"/>
      <c r="O215" s="49"/>
      <c r="P215" s="49"/>
      <c r="Q215" s="49"/>
      <c r="R215" s="49"/>
    </row>
    <row r="216" spans="1:18" x14ac:dyDescent="0.25">
      <c r="A216" s="299" t="s">
        <v>4916</v>
      </c>
      <c r="B216" s="151"/>
      <c r="C216" s="49" t="s">
        <v>4917</v>
      </c>
      <c r="D216" s="49"/>
      <c r="E216" s="49" t="s">
        <v>4918</v>
      </c>
      <c r="F216" s="154"/>
      <c r="G216" s="113"/>
      <c r="H216" s="39">
        <v>3</v>
      </c>
      <c r="I216" s="114" t="s">
        <v>161</v>
      </c>
      <c r="J216" s="154" t="s">
        <v>66</v>
      </c>
      <c r="K216" s="49" t="s">
        <v>4919</v>
      </c>
      <c r="L216" s="49"/>
      <c r="M216" s="49"/>
      <c r="N216" s="49"/>
      <c r="O216" s="49"/>
      <c r="P216" s="299"/>
      <c r="Q216" s="49"/>
      <c r="R216" s="49"/>
    </row>
    <row r="217" spans="1:18" s="285" customFormat="1" x14ac:dyDescent="0.25">
      <c r="A217" s="300" t="s">
        <v>4920</v>
      </c>
      <c r="B217" s="148"/>
      <c r="C217" s="92" t="s">
        <v>4917</v>
      </c>
      <c r="D217" s="92"/>
      <c r="E217" s="92" t="s">
        <v>4921</v>
      </c>
      <c r="F217" s="302"/>
      <c r="G217" s="95"/>
      <c r="H217" s="96">
        <v>0</v>
      </c>
      <c r="I217" s="301" t="s">
        <v>642</v>
      </c>
      <c r="J217" s="302" t="s">
        <v>161</v>
      </c>
      <c r="K217" s="92"/>
      <c r="L217" s="92"/>
      <c r="M217" s="92"/>
      <c r="N217" s="92"/>
      <c r="O217" s="92"/>
      <c r="P217" s="92"/>
      <c r="Q217" s="92"/>
      <c r="R217" s="92"/>
    </row>
    <row r="218" spans="1:18" x14ac:dyDescent="0.25">
      <c r="A218" s="299" t="s">
        <v>4922</v>
      </c>
      <c r="B218" s="151"/>
      <c r="C218" s="49" t="s">
        <v>4917</v>
      </c>
      <c r="D218" s="49"/>
      <c r="E218" s="49" t="s">
        <v>4923</v>
      </c>
      <c r="F218" s="154"/>
      <c r="G218" s="113"/>
      <c r="H218" s="39">
        <v>4</v>
      </c>
      <c r="I218" s="114"/>
      <c r="J218" s="154"/>
      <c r="K218" s="49"/>
      <c r="L218" s="49"/>
      <c r="M218" s="49"/>
      <c r="N218" s="49"/>
      <c r="O218" s="49"/>
      <c r="P218" s="49"/>
      <c r="Q218" s="49"/>
      <c r="R218" s="49"/>
    </row>
    <row r="219" spans="1:18" x14ac:dyDescent="0.25">
      <c r="A219" s="299" t="s">
        <v>4924</v>
      </c>
      <c r="B219" s="151"/>
      <c r="C219" s="49" t="s">
        <v>4917</v>
      </c>
      <c r="D219" s="49"/>
      <c r="E219" s="49" t="s">
        <v>4925</v>
      </c>
      <c r="F219" s="154"/>
      <c r="G219" s="113"/>
      <c r="H219" s="39">
        <v>4</v>
      </c>
      <c r="I219" s="114" t="s">
        <v>379</v>
      </c>
      <c r="J219" s="154"/>
      <c r="K219" s="49"/>
      <c r="L219" s="49"/>
      <c r="M219" s="49"/>
      <c r="N219" s="49"/>
      <c r="O219" s="49"/>
      <c r="P219" s="49"/>
      <c r="Q219" s="49"/>
      <c r="R219" s="49"/>
    </row>
    <row r="220" spans="1:18" x14ac:dyDescent="0.25">
      <c r="A220" s="49" t="s">
        <v>4926</v>
      </c>
      <c r="B220" s="103"/>
      <c r="C220" s="49" t="s">
        <v>4917</v>
      </c>
      <c r="D220" s="49"/>
      <c r="E220" s="49" t="s">
        <v>4927</v>
      </c>
      <c r="F220" s="112"/>
      <c r="G220" s="113"/>
      <c r="H220" s="39">
        <v>1</v>
      </c>
      <c r="I220" s="114" t="s">
        <v>161</v>
      </c>
      <c r="J220" s="154" t="s">
        <v>174</v>
      </c>
      <c r="K220" s="49" t="s">
        <v>4919</v>
      </c>
      <c r="L220" s="49"/>
      <c r="M220" s="299"/>
      <c r="N220" s="49"/>
      <c r="O220" s="49"/>
      <c r="P220" s="49"/>
      <c r="Q220" s="49"/>
      <c r="R220" s="49"/>
    </row>
    <row r="221" spans="1:18" x14ac:dyDescent="0.25">
      <c r="A221" s="49" t="s">
        <v>4928</v>
      </c>
      <c r="B221" s="103"/>
      <c r="C221" s="49" t="s">
        <v>4917</v>
      </c>
      <c r="D221" s="49"/>
      <c r="E221" s="49" t="s">
        <v>4929</v>
      </c>
      <c r="F221" s="112"/>
      <c r="G221" s="113"/>
      <c r="H221" s="39">
        <v>13</v>
      </c>
      <c r="I221" s="114" t="s">
        <v>64</v>
      </c>
      <c r="J221" s="154"/>
      <c r="K221" s="49"/>
      <c r="L221" s="49"/>
      <c r="M221" s="49"/>
      <c r="N221" s="49"/>
      <c r="O221" s="49"/>
      <c r="P221" s="49"/>
      <c r="Q221" s="49"/>
      <c r="R221" s="49"/>
    </row>
    <row r="222" spans="1:18" x14ac:dyDescent="0.25">
      <c r="A222" s="49" t="s">
        <v>4930</v>
      </c>
      <c r="B222" s="103"/>
      <c r="C222" s="49" t="s">
        <v>4917</v>
      </c>
      <c r="D222" s="49"/>
      <c r="E222" s="49" t="s">
        <v>4931</v>
      </c>
      <c r="F222" s="112"/>
      <c r="G222" s="113"/>
      <c r="H222" s="39">
        <v>2</v>
      </c>
      <c r="I222" s="114" t="s">
        <v>4932</v>
      </c>
      <c r="J222" s="154"/>
      <c r="K222" s="49"/>
      <c r="L222" s="49"/>
      <c r="M222" s="49"/>
      <c r="N222" s="49"/>
      <c r="O222" s="49"/>
      <c r="P222" s="49"/>
      <c r="Q222" s="49"/>
      <c r="R222" s="49"/>
    </row>
    <row r="223" spans="1:18" x14ac:dyDescent="0.25">
      <c r="A223" s="299" t="s">
        <v>4933</v>
      </c>
      <c r="B223" s="103"/>
      <c r="C223" s="49" t="s">
        <v>4917</v>
      </c>
      <c r="D223" s="49"/>
      <c r="E223" s="49"/>
      <c r="F223" s="112"/>
      <c r="G223" s="113"/>
      <c r="H223" s="39">
        <v>8</v>
      </c>
      <c r="I223" s="114"/>
      <c r="J223" s="154"/>
      <c r="K223" s="49"/>
      <c r="L223" s="49"/>
      <c r="M223" s="49"/>
      <c r="N223" s="49"/>
      <c r="O223" s="49"/>
      <c r="P223" s="49"/>
      <c r="Q223" s="49"/>
      <c r="R223" s="49"/>
    </row>
    <row r="224" spans="1:18" x14ac:dyDescent="0.25">
      <c r="A224" s="299" t="s">
        <v>4934</v>
      </c>
      <c r="B224" s="103"/>
      <c r="C224" s="49"/>
      <c r="D224" s="49"/>
      <c r="E224" s="49"/>
      <c r="F224" s="112"/>
      <c r="G224" s="113"/>
      <c r="H224" s="39">
        <v>11</v>
      </c>
      <c r="I224" s="114"/>
      <c r="J224" s="154"/>
      <c r="K224" s="49"/>
      <c r="L224" s="49"/>
      <c r="M224" s="49"/>
      <c r="N224" s="49"/>
      <c r="O224" s="49"/>
      <c r="P224" s="49"/>
      <c r="Q224" s="49"/>
      <c r="R224" s="49"/>
    </row>
    <row r="225" spans="1:18" x14ac:dyDescent="0.25">
      <c r="A225" s="49" t="s">
        <v>4935</v>
      </c>
      <c r="B225" s="103"/>
      <c r="C225" s="49"/>
      <c r="D225" s="49"/>
      <c r="E225" s="49"/>
      <c r="F225" s="154"/>
      <c r="G225" s="113"/>
      <c r="H225" s="39">
        <v>3</v>
      </c>
      <c r="I225" s="303"/>
      <c r="J225" s="298"/>
      <c r="K225" s="49"/>
      <c r="L225" s="49"/>
      <c r="M225" s="49"/>
      <c r="N225" s="49"/>
      <c r="O225" s="49"/>
      <c r="P225" s="49"/>
      <c r="Q225" s="49"/>
      <c r="R225" s="49"/>
    </row>
    <row r="226" spans="1:18" x14ac:dyDescent="0.25">
      <c r="A226" s="49" t="s">
        <v>4936</v>
      </c>
      <c r="B226" s="103"/>
      <c r="C226" s="299"/>
      <c r="D226" s="49"/>
      <c r="E226" s="49"/>
      <c r="F226" s="112"/>
      <c r="G226" s="113"/>
      <c r="H226" s="39">
        <v>3</v>
      </c>
      <c r="I226" s="114"/>
      <c r="J226" s="154"/>
      <c r="K226" s="49"/>
      <c r="L226" s="49"/>
      <c r="M226" s="49"/>
      <c r="N226" s="49"/>
      <c r="O226" s="49"/>
      <c r="P226" s="49"/>
      <c r="Q226" s="49"/>
      <c r="R226" s="49"/>
    </row>
    <row r="227" spans="1:18" x14ac:dyDescent="0.25">
      <c r="A227" s="299" t="s">
        <v>4937</v>
      </c>
      <c r="B227" s="103"/>
      <c r="C227" s="49"/>
      <c r="D227" s="49"/>
      <c r="E227" s="49"/>
      <c r="F227" s="112"/>
      <c r="G227" s="113"/>
      <c r="H227" s="39">
        <v>8</v>
      </c>
      <c r="I227" s="114"/>
      <c r="J227" s="154"/>
      <c r="K227" s="49"/>
      <c r="L227" s="49"/>
      <c r="M227" s="49"/>
      <c r="N227" s="49"/>
      <c r="O227" s="49"/>
      <c r="P227" s="49"/>
      <c r="Q227" s="49"/>
      <c r="R227" s="49"/>
    </row>
    <row r="228" spans="1:18" x14ac:dyDescent="0.25">
      <c r="A228" s="49" t="s">
        <v>4938</v>
      </c>
      <c r="B228" s="103"/>
      <c r="C228" s="299"/>
      <c r="D228" s="49"/>
      <c r="E228" s="49"/>
      <c r="F228" s="112"/>
      <c r="G228" s="113"/>
      <c r="H228" s="39">
        <v>2</v>
      </c>
      <c r="I228" s="114"/>
      <c r="J228" s="154"/>
      <c r="K228" s="49"/>
      <c r="L228" s="49"/>
      <c r="M228" s="49"/>
      <c r="N228" s="49"/>
      <c r="O228" s="49"/>
      <c r="P228" s="49"/>
      <c r="Q228" s="49"/>
      <c r="R228" s="49"/>
    </row>
    <row r="229" spans="1:18" x14ac:dyDescent="0.25">
      <c r="A229" s="49" t="s">
        <v>4939</v>
      </c>
      <c r="B229" s="151"/>
      <c r="C229" s="299"/>
      <c r="D229" s="49"/>
      <c r="E229" s="49"/>
      <c r="F229" s="112"/>
      <c r="G229" s="113"/>
      <c r="H229" s="39">
        <v>6</v>
      </c>
      <c r="I229" s="114"/>
      <c r="J229" s="154"/>
      <c r="K229" s="49"/>
      <c r="L229" s="49"/>
      <c r="M229" s="49"/>
      <c r="N229" s="49"/>
      <c r="O229" s="49"/>
      <c r="P229" s="49"/>
      <c r="Q229" s="49"/>
      <c r="R229" s="49"/>
    </row>
    <row r="230" spans="1:18" x14ac:dyDescent="0.25">
      <c r="A230" s="49" t="s">
        <v>4940</v>
      </c>
      <c r="B230" s="151"/>
      <c r="C230" s="299"/>
      <c r="D230" s="49"/>
      <c r="E230" s="49"/>
      <c r="F230" s="112"/>
      <c r="G230" s="113"/>
      <c r="H230" s="39">
        <v>5</v>
      </c>
      <c r="I230" s="114"/>
      <c r="J230" s="154"/>
      <c r="K230" s="49"/>
      <c r="L230" s="49"/>
      <c r="M230" s="49"/>
      <c r="N230" s="49"/>
      <c r="O230" s="49"/>
      <c r="P230" s="49"/>
      <c r="Q230" s="49"/>
      <c r="R230" s="49"/>
    </row>
    <row r="231" spans="1:18" x14ac:dyDescent="0.25">
      <c r="A231" s="49" t="s">
        <v>4941</v>
      </c>
      <c r="B231" s="103"/>
      <c r="C231" s="49"/>
      <c r="D231" s="49"/>
      <c r="E231" s="49"/>
      <c r="F231" s="154"/>
      <c r="G231" s="113"/>
      <c r="H231" s="39">
        <v>1</v>
      </c>
      <c r="I231" s="303"/>
      <c r="J231" s="298"/>
      <c r="K231" s="49"/>
      <c r="L231" s="49"/>
      <c r="M231" s="49"/>
      <c r="N231" s="49"/>
      <c r="O231" s="49"/>
      <c r="P231" s="49"/>
      <c r="Q231" s="49"/>
      <c r="R231" s="49"/>
    </row>
    <row r="232" spans="1:18" x14ac:dyDescent="0.25">
      <c r="A232" s="49" t="s">
        <v>4942</v>
      </c>
      <c r="B232" s="151"/>
      <c r="C232" s="299"/>
      <c r="D232" s="49"/>
      <c r="E232" s="49"/>
      <c r="F232" s="112"/>
      <c r="G232" s="113"/>
      <c r="H232" s="39">
        <v>1</v>
      </c>
      <c r="I232" s="114"/>
      <c r="J232" s="154"/>
      <c r="K232" s="49"/>
      <c r="L232" s="49"/>
      <c r="M232" s="49"/>
      <c r="N232" s="49"/>
      <c r="O232" s="49"/>
      <c r="P232" s="49"/>
      <c r="Q232" s="49"/>
      <c r="R232" s="49"/>
    </row>
    <row r="233" spans="1:18" x14ac:dyDescent="0.25">
      <c r="A233" s="49" t="s">
        <v>4943</v>
      </c>
      <c r="B233" s="151"/>
      <c r="C233" s="299"/>
      <c r="D233" s="49"/>
      <c r="E233" s="49"/>
      <c r="F233" s="112"/>
      <c r="G233" s="113"/>
      <c r="H233" s="39">
        <v>3</v>
      </c>
      <c r="I233" s="154" t="s">
        <v>49</v>
      </c>
      <c r="J233" s="49" t="s">
        <v>4944</v>
      </c>
      <c r="L233" s="49"/>
      <c r="M233" s="49"/>
      <c r="N233" s="49"/>
      <c r="O233" s="49"/>
      <c r="P233" s="49"/>
      <c r="Q233" s="49"/>
      <c r="R233" s="49"/>
    </row>
    <row r="234" spans="1:18" x14ac:dyDescent="0.25">
      <c r="A234" s="49" t="s">
        <v>4945</v>
      </c>
      <c r="B234" s="103"/>
      <c r="C234" s="299"/>
      <c r="D234" s="49"/>
      <c r="E234" s="49"/>
      <c r="F234" s="112"/>
      <c r="G234" s="113"/>
      <c r="H234" s="39">
        <v>4</v>
      </c>
      <c r="I234" s="114"/>
      <c r="J234" s="154"/>
      <c r="K234" s="49"/>
      <c r="L234" s="49"/>
      <c r="M234" s="49"/>
      <c r="N234" s="49"/>
      <c r="O234" s="49"/>
      <c r="P234" s="49"/>
      <c r="Q234" s="49"/>
      <c r="R234" s="49"/>
    </row>
    <row r="235" spans="1:18" x14ac:dyDescent="0.25">
      <c r="A235" s="49" t="s">
        <v>4946</v>
      </c>
      <c r="B235" s="151"/>
      <c r="C235" s="299"/>
      <c r="D235" s="49"/>
      <c r="E235" s="49"/>
      <c r="F235" s="112"/>
      <c r="G235" s="113"/>
      <c r="H235" s="39">
        <v>28</v>
      </c>
      <c r="I235" s="114" t="s">
        <v>1015</v>
      </c>
      <c r="J235" s="154"/>
      <c r="K235" s="49"/>
      <c r="L235" s="49"/>
      <c r="M235" s="49"/>
      <c r="N235" s="49"/>
      <c r="O235" s="49"/>
      <c r="P235" s="49"/>
      <c r="Q235" s="49"/>
      <c r="R235" s="49"/>
    </row>
    <row r="236" spans="1:18" x14ac:dyDescent="0.25">
      <c r="A236" s="49" t="s">
        <v>4947</v>
      </c>
      <c r="B236" s="151"/>
      <c r="C236" s="299"/>
      <c r="D236" s="49"/>
      <c r="E236" s="49"/>
      <c r="F236" s="112"/>
      <c r="G236" s="113"/>
      <c r="H236" s="39">
        <v>8</v>
      </c>
      <c r="I236" s="114" t="s">
        <v>1474</v>
      </c>
      <c r="J236" s="154" t="s">
        <v>806</v>
      </c>
      <c r="K236" s="49"/>
      <c r="L236" s="49"/>
      <c r="M236" s="49"/>
      <c r="N236" s="49"/>
      <c r="O236" s="49"/>
      <c r="P236" s="49"/>
      <c r="Q236" s="49"/>
      <c r="R236" s="49"/>
    </row>
    <row r="237" spans="1:18" x14ac:dyDescent="0.25">
      <c r="A237" s="49" t="s">
        <v>4948</v>
      </c>
      <c r="B237" s="151"/>
      <c r="C237" s="299"/>
      <c r="D237" s="49"/>
      <c r="E237" s="49"/>
      <c r="F237" s="112"/>
      <c r="G237" s="113"/>
      <c r="H237" s="39">
        <v>5</v>
      </c>
      <c r="I237" s="114" t="s">
        <v>379</v>
      </c>
      <c r="J237" s="154" t="s">
        <v>1474</v>
      </c>
      <c r="K237" s="49" t="s">
        <v>806</v>
      </c>
      <c r="L237" s="49"/>
      <c r="M237" s="49"/>
      <c r="N237" s="49"/>
      <c r="O237" s="49"/>
      <c r="P237" s="49"/>
      <c r="Q237" s="49"/>
      <c r="R237" s="49"/>
    </row>
    <row r="238" spans="1:18" x14ac:dyDescent="0.25">
      <c r="A238" s="49" t="s">
        <v>4949</v>
      </c>
      <c r="B238" s="151"/>
      <c r="C238" s="299"/>
      <c r="D238" s="49"/>
      <c r="E238" s="49"/>
      <c r="F238" s="112"/>
      <c r="G238" s="113"/>
      <c r="H238" s="39">
        <v>0</v>
      </c>
      <c r="I238" s="114" t="s">
        <v>1041</v>
      </c>
      <c r="J238" s="154"/>
      <c r="K238" s="49"/>
      <c r="L238" s="49"/>
      <c r="M238" s="49"/>
      <c r="N238" s="49"/>
      <c r="O238" s="49"/>
      <c r="P238" s="49"/>
      <c r="Q238" s="49"/>
      <c r="R238" s="49"/>
    </row>
    <row r="239" spans="1:18" x14ac:dyDescent="0.25">
      <c r="A239" s="49" t="s">
        <v>4950</v>
      </c>
      <c r="B239" s="151"/>
      <c r="C239" s="299"/>
      <c r="D239" s="49"/>
      <c r="E239" s="49"/>
      <c r="F239" s="112"/>
      <c r="G239" s="113"/>
      <c r="H239" s="39">
        <v>7</v>
      </c>
      <c r="I239" s="114" t="s">
        <v>4951</v>
      </c>
      <c r="J239" s="154" t="s">
        <v>1474</v>
      </c>
      <c r="K239" s="49" t="s">
        <v>473</v>
      </c>
      <c r="L239" s="49"/>
      <c r="M239" s="49"/>
      <c r="N239" s="49"/>
      <c r="O239" s="49"/>
      <c r="P239" s="49"/>
      <c r="Q239" s="49"/>
      <c r="R239" s="49"/>
    </row>
    <row r="240" spans="1:18" x14ac:dyDescent="0.25">
      <c r="A240" s="49" t="s">
        <v>4952</v>
      </c>
      <c r="B240" s="151"/>
      <c r="C240" s="299"/>
      <c r="D240" s="49"/>
      <c r="E240" s="49"/>
      <c r="F240" s="112"/>
      <c r="G240" s="113"/>
      <c r="H240" s="39">
        <v>1</v>
      </c>
      <c r="I240" s="114" t="s">
        <v>1474</v>
      </c>
      <c r="J240" s="154" t="s">
        <v>3798</v>
      </c>
      <c r="K240" s="49" t="s">
        <v>4953</v>
      </c>
      <c r="L240" s="49" t="s">
        <v>4954</v>
      </c>
      <c r="M240" s="49" t="s">
        <v>2649</v>
      </c>
      <c r="N240" s="49"/>
      <c r="O240" s="49"/>
      <c r="P240" s="49"/>
      <c r="Q240" s="49"/>
      <c r="R240" s="49"/>
    </row>
    <row r="241" spans="1:18" x14ac:dyDescent="0.25">
      <c r="A241" s="49" t="s">
        <v>4955</v>
      </c>
      <c r="B241" s="151"/>
      <c r="C241" s="299"/>
      <c r="D241" s="49"/>
      <c r="E241" s="49"/>
      <c r="F241" s="112"/>
      <c r="G241" s="113"/>
      <c r="H241" s="39">
        <v>1</v>
      </c>
      <c r="I241" s="114"/>
      <c r="J241" s="154"/>
      <c r="K241" s="49"/>
      <c r="L241" s="49"/>
      <c r="M241" s="49"/>
      <c r="N241" s="49"/>
      <c r="O241" s="49"/>
      <c r="P241" s="49"/>
      <c r="Q241" s="49"/>
      <c r="R241" s="49"/>
    </row>
    <row r="242" spans="1:18" x14ac:dyDescent="0.25">
      <c r="A242" s="49" t="s">
        <v>4956</v>
      </c>
      <c r="B242" s="151"/>
      <c r="C242" s="299"/>
      <c r="D242" s="49"/>
      <c r="E242" s="49"/>
      <c r="F242" s="112"/>
      <c r="G242" s="113"/>
      <c r="H242" s="39">
        <v>1</v>
      </c>
      <c r="I242" s="114"/>
      <c r="J242" s="154"/>
      <c r="K242" s="49"/>
      <c r="L242" s="49"/>
      <c r="M242" s="49"/>
      <c r="N242" s="49"/>
      <c r="O242" s="49"/>
      <c r="P242" s="49"/>
      <c r="Q242" s="49"/>
      <c r="R242" s="49"/>
    </row>
    <row r="243" spans="1:18" x14ac:dyDescent="0.25">
      <c r="A243" s="49" t="s">
        <v>4957</v>
      </c>
      <c r="B243" s="103"/>
      <c r="C243" s="49"/>
      <c r="D243" s="49"/>
      <c r="E243" s="49"/>
      <c r="F243" s="154"/>
      <c r="G243" s="113"/>
      <c r="H243" s="39">
        <v>3</v>
      </c>
      <c r="I243" s="303"/>
      <c r="J243" s="298"/>
      <c r="K243" s="49"/>
      <c r="L243" s="49"/>
      <c r="M243" s="49"/>
      <c r="N243" s="49"/>
      <c r="O243" s="49"/>
      <c r="P243" s="49"/>
      <c r="Q243" s="49"/>
      <c r="R243" s="49"/>
    </row>
    <row r="244" spans="1:18" x14ac:dyDescent="0.25">
      <c r="A244" s="49" t="s">
        <v>4958</v>
      </c>
      <c r="B244" s="151"/>
      <c r="C244" s="299"/>
      <c r="D244" s="49"/>
      <c r="E244" s="49"/>
      <c r="F244" s="112"/>
      <c r="G244" s="113"/>
      <c r="H244" s="39">
        <v>1</v>
      </c>
      <c r="I244" s="114"/>
      <c r="J244" s="154"/>
      <c r="K244" s="49"/>
      <c r="L244" s="49"/>
      <c r="M244" s="49"/>
      <c r="N244" s="49"/>
      <c r="O244" s="49"/>
      <c r="P244" s="49"/>
      <c r="Q244" s="49"/>
      <c r="R244" s="49"/>
    </row>
    <row r="245" spans="1:18" x14ac:dyDescent="0.25">
      <c r="A245" s="49" t="s">
        <v>4959</v>
      </c>
      <c r="B245" s="151"/>
      <c r="C245" s="299"/>
      <c r="D245" s="49"/>
      <c r="E245" s="49"/>
      <c r="F245" s="112"/>
      <c r="G245" s="113"/>
      <c r="H245" s="39">
        <v>2</v>
      </c>
      <c r="I245" s="114"/>
      <c r="J245" s="154"/>
      <c r="K245" s="49"/>
      <c r="L245" s="49"/>
      <c r="M245" s="49"/>
      <c r="N245" s="49"/>
      <c r="O245" s="49"/>
      <c r="P245" s="49"/>
      <c r="Q245" s="49"/>
      <c r="R245" s="49"/>
    </row>
    <row r="246" spans="1:18" s="285" customFormat="1" x14ac:dyDescent="0.25">
      <c r="A246" s="92" t="s">
        <v>4960</v>
      </c>
      <c r="B246" s="148"/>
      <c r="C246" s="300"/>
      <c r="D246" s="92"/>
      <c r="E246" s="92"/>
      <c r="F246" s="94"/>
      <c r="G246" s="95"/>
      <c r="H246" s="96">
        <v>0</v>
      </c>
      <c r="I246" s="301" t="s">
        <v>672</v>
      </c>
      <c r="J246" s="302" t="s">
        <v>346</v>
      </c>
      <c r="K246" s="92"/>
      <c r="L246" s="92"/>
      <c r="M246" s="92"/>
      <c r="N246" s="92"/>
      <c r="O246" s="92"/>
      <c r="P246" s="92"/>
      <c r="Q246" s="92"/>
      <c r="R246" s="92"/>
    </row>
    <row r="247" spans="1:18" x14ac:dyDescent="0.25">
      <c r="A247" s="49" t="s">
        <v>4961</v>
      </c>
      <c r="B247" s="151"/>
      <c r="C247" s="299"/>
      <c r="D247" s="49"/>
      <c r="E247" s="49"/>
      <c r="F247" s="112"/>
      <c r="G247" s="113"/>
      <c r="H247" s="39">
        <v>3</v>
      </c>
      <c r="I247" s="114" t="s">
        <v>3910</v>
      </c>
      <c r="J247" s="154"/>
      <c r="K247" s="49"/>
      <c r="L247" s="49"/>
      <c r="M247" s="49"/>
      <c r="N247" s="49"/>
      <c r="O247" s="49"/>
      <c r="P247" s="49"/>
      <c r="Q247" s="49"/>
      <c r="R247" s="49"/>
    </row>
    <row r="248" spans="1:18" x14ac:dyDescent="0.25">
      <c r="A248" s="49" t="s">
        <v>4962</v>
      </c>
      <c r="B248" s="103"/>
      <c r="C248" s="49"/>
      <c r="D248" s="49"/>
      <c r="E248" s="49"/>
      <c r="F248" s="154"/>
      <c r="G248" s="113"/>
      <c r="H248" s="39">
        <v>39</v>
      </c>
      <c r="I248" s="303" t="s">
        <v>4963</v>
      </c>
      <c r="J248" s="298" t="s">
        <v>4964</v>
      </c>
      <c r="K248" s="49" t="s">
        <v>4944</v>
      </c>
      <c r="L248" s="49"/>
      <c r="M248" s="49"/>
      <c r="N248" s="49"/>
      <c r="O248" s="49"/>
      <c r="P248" s="49"/>
      <c r="Q248" s="49"/>
      <c r="R248" s="49"/>
    </row>
    <row r="249" spans="1:17" x14ac:dyDescent="0.25">
      <c r="A249" s="309" t="s">
        <v>4965</v>
      </c>
      <c r="B249" s="103"/>
      <c r="C249" s="49" t="s">
        <v>4917</v>
      </c>
      <c r="D249" s="49" t="s">
        <v>4433</v>
      </c>
      <c r="E249" s="309" t="s">
        <v>4966</v>
      </c>
      <c r="F249" s="154"/>
      <c r="G249" s="113"/>
      <c r="H249" s="39">
        <v>6</v>
      </c>
      <c r="I249" s="303" t="s">
        <v>4967</v>
      </c>
      <c r="J249" s="298" t="s">
        <v>1304</v>
      </c>
      <c r="K249" s="49"/>
      <c r="L249" s="49"/>
      <c r="M249" s="49"/>
      <c r="N249" s="49"/>
      <c r="O249" s="49"/>
      <c r="P249" s="49"/>
      <c r="Q249" s="49"/>
    </row>
    <row r="250" spans="1:17" x14ac:dyDescent="0.25">
      <c r="A250" s="310" t="s">
        <v>4968</v>
      </c>
      <c r="B250" s="49"/>
      <c r="C250" s="49" t="s">
        <v>4969</v>
      </c>
      <c r="D250" s="311" t="s">
        <v>4786</v>
      </c>
      <c r="E250" s="310" t="s">
        <v>4970</v>
      </c>
      <c r="F250" s="113"/>
      <c r="G250" s="39"/>
      <c r="H250" s="114">
        <v>50</v>
      </c>
      <c r="I250" s="298"/>
      <c r="J250" s="49"/>
      <c r="K250" s="49"/>
      <c r="L250" s="49"/>
      <c r="M250" s="49"/>
      <c r="N250" s="49"/>
      <c r="O250" s="49"/>
      <c r="P250" s="49"/>
      <c r="Q250" s="49"/>
    </row>
    <row r="251" spans="1:18" x14ac:dyDescent="0.25">
      <c r="A251" s="310" t="s">
        <v>4971</v>
      </c>
      <c r="B251" s="103"/>
      <c r="C251" s="49" t="s">
        <v>4917</v>
      </c>
      <c r="D251" s="311" t="s">
        <v>4786</v>
      </c>
      <c r="E251" s="312" t="s">
        <v>4972</v>
      </c>
      <c r="F251" s="112"/>
      <c r="G251" s="113"/>
      <c r="H251" s="39">
        <v>3</v>
      </c>
      <c r="I251" s="114" t="s">
        <v>997</v>
      </c>
      <c r="J251" s="154"/>
      <c r="K251" s="299"/>
      <c r="L251" s="299"/>
      <c r="M251" s="299"/>
      <c r="N251" s="49"/>
      <c r="O251" s="49"/>
      <c r="P251" s="49"/>
      <c r="Q251" s="49"/>
      <c r="R251" s="49"/>
    </row>
    <row r="252" spans="1:18" x14ac:dyDescent="0.25">
      <c r="A252" s="312" t="s">
        <v>4973</v>
      </c>
      <c r="B252" s="103"/>
      <c r="C252" s="49" t="s">
        <v>4917</v>
      </c>
      <c r="D252" s="311" t="s">
        <v>4786</v>
      </c>
      <c r="E252" s="312" t="s">
        <v>4974</v>
      </c>
      <c r="F252" s="112"/>
      <c r="G252" s="113"/>
      <c r="H252" s="39">
        <v>2</v>
      </c>
      <c r="I252" s="114" t="s">
        <v>997</v>
      </c>
      <c r="J252" s="154" t="s">
        <v>659</v>
      </c>
      <c r="K252" s="49"/>
      <c r="L252" s="49"/>
      <c r="M252" s="49"/>
      <c r="N252" s="49"/>
      <c r="O252" s="49"/>
      <c r="P252" s="49"/>
      <c r="Q252" s="299"/>
      <c r="R252" s="49"/>
    </row>
    <row r="253" spans="1:18" x14ac:dyDescent="0.25">
      <c r="A253" s="312" t="s">
        <v>4975</v>
      </c>
      <c r="B253" s="103"/>
      <c r="C253" s="49" t="s">
        <v>4649</v>
      </c>
      <c r="D253" s="311" t="s">
        <v>4786</v>
      </c>
      <c r="E253" s="312" t="s">
        <v>4976</v>
      </c>
      <c r="F253" s="112"/>
      <c r="G253" s="113"/>
      <c r="H253" s="39">
        <v>4</v>
      </c>
      <c r="I253" s="114" t="s">
        <v>3292</v>
      </c>
      <c r="J253" s="154"/>
      <c r="K253" s="49"/>
      <c r="L253" s="49"/>
      <c r="M253" s="49"/>
      <c r="N253" s="49"/>
      <c r="O253" s="49"/>
      <c r="P253" s="49"/>
      <c r="Q253" s="49"/>
      <c r="R253" s="49"/>
    </row>
    <row r="254" spans="1:18" x14ac:dyDescent="0.25">
      <c r="A254" s="312" t="s">
        <v>4977</v>
      </c>
      <c r="B254" s="103"/>
      <c r="C254" s="49" t="s">
        <v>4649</v>
      </c>
      <c r="D254" s="311" t="s">
        <v>4786</v>
      </c>
      <c r="E254" s="312" t="s">
        <v>4978</v>
      </c>
      <c r="F254" s="112"/>
      <c r="G254" s="113"/>
      <c r="H254" s="39">
        <v>4</v>
      </c>
      <c r="I254" s="114" t="s">
        <v>3292</v>
      </c>
      <c r="J254" s="154"/>
      <c r="K254" s="49"/>
      <c r="L254" s="49"/>
      <c r="M254" s="49"/>
      <c r="N254" s="49"/>
      <c r="O254" s="49"/>
      <c r="P254" s="49"/>
      <c r="Q254" s="49"/>
      <c r="R254" s="49"/>
    </row>
    <row r="255" spans="1:18" x14ac:dyDescent="0.25">
      <c r="A255" s="313" t="s">
        <v>4979</v>
      </c>
      <c r="B255" s="103"/>
      <c r="C255" s="49" t="s">
        <v>4649</v>
      </c>
      <c r="D255" s="311" t="s">
        <v>4786</v>
      </c>
      <c r="E255" s="313" t="s">
        <v>4980</v>
      </c>
      <c r="F255" s="112"/>
      <c r="G255" s="113" t="s">
        <v>4981</v>
      </c>
      <c r="H255" s="39">
        <v>5</v>
      </c>
      <c r="I255" s="114"/>
      <c r="J255" s="154"/>
      <c r="K255" s="49"/>
      <c r="L255" s="49"/>
      <c r="M255" s="49"/>
      <c r="N255" s="49"/>
      <c r="O255" s="49"/>
      <c r="P255" s="49"/>
      <c r="Q255" s="49"/>
      <c r="R255" s="49"/>
    </row>
    <row r="256" spans="1:18" x14ac:dyDescent="0.25">
      <c r="A256" s="313" t="s">
        <v>4982</v>
      </c>
      <c r="B256" s="103"/>
      <c r="C256" s="49" t="s">
        <v>4649</v>
      </c>
      <c r="D256" s="311" t="s">
        <v>4786</v>
      </c>
      <c r="E256" s="313" t="s">
        <v>4983</v>
      </c>
      <c r="F256" s="112"/>
      <c r="G256" s="113"/>
      <c r="H256" s="39">
        <v>1</v>
      </c>
      <c r="I256" s="114" t="s">
        <v>4984</v>
      </c>
      <c r="J256" s="154"/>
      <c r="K256" s="49"/>
      <c r="L256" s="49"/>
      <c r="M256" s="49"/>
      <c r="N256" s="49"/>
      <c r="O256" s="49"/>
      <c r="P256" s="49"/>
      <c r="Q256" s="49"/>
      <c r="R256" s="49"/>
    </row>
    <row r="257" spans="1:18" x14ac:dyDescent="0.25">
      <c r="A257" s="313" t="s">
        <v>4985</v>
      </c>
      <c r="B257" s="103"/>
      <c r="C257" s="49" t="s">
        <v>4649</v>
      </c>
      <c r="D257" s="311" t="s">
        <v>4786</v>
      </c>
      <c r="E257" s="313" t="s">
        <v>4986</v>
      </c>
      <c r="F257" s="112"/>
      <c r="G257" s="113"/>
      <c r="H257" s="39">
        <v>1</v>
      </c>
      <c r="I257" s="114" t="s">
        <v>4984</v>
      </c>
      <c r="J257" s="154"/>
      <c r="K257" s="49"/>
      <c r="L257" s="49"/>
      <c r="M257" s="49"/>
      <c r="N257" s="49"/>
      <c r="O257" s="49"/>
      <c r="P257" s="49"/>
      <c r="Q257" s="49"/>
      <c r="R257" s="49"/>
    </row>
    <row r="258" spans="1:18" x14ac:dyDescent="0.25">
      <c r="A258" s="313" t="s">
        <v>4987</v>
      </c>
      <c r="B258" s="103"/>
      <c r="C258" s="49" t="s">
        <v>4649</v>
      </c>
      <c r="D258" s="311" t="s">
        <v>4786</v>
      </c>
      <c r="E258" s="313" t="s">
        <v>4988</v>
      </c>
      <c r="F258" s="112"/>
      <c r="G258" s="113"/>
      <c r="H258" s="39">
        <v>0</v>
      </c>
      <c r="I258" s="114" t="s">
        <v>1303</v>
      </c>
      <c r="J258" s="154"/>
      <c r="K258" s="49"/>
      <c r="L258" s="49"/>
      <c r="M258" s="49"/>
      <c r="N258" s="49"/>
      <c r="O258" s="49"/>
      <c r="P258" s="49"/>
      <c r="Q258" s="49"/>
      <c r="R258" s="49"/>
    </row>
    <row r="259" spans="1:18" x14ac:dyDescent="0.25">
      <c r="A259" s="313" t="s">
        <v>4989</v>
      </c>
      <c r="B259" s="103"/>
      <c r="C259" s="49" t="s">
        <v>4668</v>
      </c>
      <c r="D259" s="311" t="s">
        <v>4786</v>
      </c>
      <c r="E259" s="313" t="s">
        <v>4990</v>
      </c>
      <c r="F259" s="112"/>
      <c r="G259" s="113" t="s">
        <v>4991</v>
      </c>
      <c r="H259" s="39">
        <v>1</v>
      </c>
      <c r="I259" s="114"/>
      <c r="J259" s="154"/>
      <c r="K259" s="49"/>
      <c r="L259" s="49"/>
      <c r="M259" s="49"/>
      <c r="N259" s="49"/>
      <c r="O259" s="49"/>
      <c r="P259" s="49"/>
      <c r="Q259" s="49"/>
      <c r="R259" s="49"/>
    </row>
    <row r="260" spans="1:18" x14ac:dyDescent="0.25">
      <c r="A260" s="313" t="s">
        <v>4992</v>
      </c>
      <c r="B260" s="103"/>
      <c r="C260" s="49" t="s">
        <v>4649</v>
      </c>
      <c r="D260" s="311" t="s">
        <v>4786</v>
      </c>
      <c r="E260" s="313" t="s">
        <v>4993</v>
      </c>
      <c r="F260" s="154"/>
      <c r="G260" s="113"/>
      <c r="H260" s="39">
        <v>1</v>
      </c>
      <c r="I260" s="303" t="s">
        <v>174</v>
      </c>
      <c r="J260" s="298"/>
      <c r="K260" s="49"/>
      <c r="L260" s="49"/>
      <c r="M260" s="49"/>
      <c r="N260" s="49"/>
      <c r="O260" s="49"/>
      <c r="P260" s="49"/>
      <c r="Q260" s="49"/>
      <c r="R260" s="49"/>
    </row>
    <row r="261" spans="1:18" x14ac:dyDescent="0.25">
      <c r="A261" s="313" t="s">
        <v>4994</v>
      </c>
      <c r="B261" s="103"/>
      <c r="C261" s="49" t="s">
        <v>4668</v>
      </c>
      <c r="D261" s="311" t="s">
        <v>4786</v>
      </c>
      <c r="E261" s="314" t="s">
        <v>4995</v>
      </c>
      <c r="F261" s="112"/>
      <c r="G261" s="113"/>
      <c r="H261" s="39">
        <v>2</v>
      </c>
      <c r="I261" s="114" t="s">
        <v>3292</v>
      </c>
      <c r="J261" s="154" t="s">
        <v>1066</v>
      </c>
      <c r="K261" s="49"/>
      <c r="L261" s="49"/>
      <c r="M261" s="49"/>
      <c r="N261" s="49"/>
      <c r="O261" s="49"/>
      <c r="P261" s="49"/>
      <c r="Q261" s="49"/>
      <c r="R261" s="49"/>
    </row>
    <row r="262" spans="1:18" x14ac:dyDescent="0.25">
      <c r="A262" s="313" t="s">
        <v>4996</v>
      </c>
      <c r="B262" s="103"/>
      <c r="C262" s="49" t="s">
        <v>4668</v>
      </c>
      <c r="D262" s="311" t="s">
        <v>4786</v>
      </c>
      <c r="E262" s="314" t="s">
        <v>4997</v>
      </c>
      <c r="F262" s="112"/>
      <c r="G262" s="113"/>
      <c r="H262" s="39">
        <v>2</v>
      </c>
      <c r="I262" s="114" t="s">
        <v>599</v>
      </c>
      <c r="J262" s="154" t="s">
        <v>1066</v>
      </c>
      <c r="K262" s="49"/>
      <c r="L262" s="49"/>
      <c r="M262" s="49"/>
      <c r="N262" s="49"/>
      <c r="O262" s="49"/>
      <c r="P262" s="49"/>
      <c r="Q262" s="49"/>
      <c r="R262" s="49"/>
    </row>
    <row r="263" spans="1:18" x14ac:dyDescent="0.25">
      <c r="A263" s="313" t="s">
        <v>4998</v>
      </c>
      <c r="B263" s="103"/>
      <c r="C263" s="49" t="s">
        <v>4668</v>
      </c>
      <c r="D263" s="311" t="s">
        <v>4786</v>
      </c>
      <c r="E263" s="314" t="s">
        <v>4999</v>
      </c>
      <c r="F263" s="112"/>
      <c r="G263" s="113"/>
      <c r="H263" s="39">
        <v>4</v>
      </c>
      <c r="I263" s="114" t="s">
        <v>3292</v>
      </c>
      <c r="J263" s="154"/>
      <c r="K263" s="49"/>
      <c r="L263" s="49"/>
      <c r="M263" s="49"/>
      <c r="N263" s="49"/>
      <c r="O263" s="49"/>
      <c r="P263" s="49"/>
      <c r="Q263" s="49"/>
      <c r="R263" s="49"/>
    </row>
    <row r="264" ht="14.25" customHeight="1" spans="1:18" x14ac:dyDescent="0.25">
      <c r="A264" s="313" t="s">
        <v>5000</v>
      </c>
      <c r="B264" s="103"/>
      <c r="C264" s="49" t="s">
        <v>4668</v>
      </c>
      <c r="D264" s="311" t="s">
        <v>4786</v>
      </c>
      <c r="E264" s="314" t="s">
        <v>5001</v>
      </c>
      <c r="F264" s="154"/>
      <c r="G264" s="113"/>
      <c r="H264" s="39">
        <v>1</v>
      </c>
      <c r="I264" s="114" t="s">
        <v>1066</v>
      </c>
      <c r="J264" s="154" t="s">
        <v>3857</v>
      </c>
      <c r="K264" s="299"/>
      <c r="L264" s="299"/>
      <c r="M264" s="299"/>
      <c r="N264" s="49"/>
      <c r="O264" s="49"/>
      <c r="P264" s="49"/>
      <c r="Q264" s="49"/>
      <c r="R264" s="49"/>
    </row>
    <row r="265" spans="1:18" x14ac:dyDescent="0.25">
      <c r="A265" s="313" t="s">
        <v>5002</v>
      </c>
      <c r="B265" s="103"/>
      <c r="C265" s="49" t="s">
        <v>4668</v>
      </c>
      <c r="D265" s="311" t="s">
        <v>4786</v>
      </c>
      <c r="E265" s="314" t="s">
        <v>5003</v>
      </c>
      <c r="F265" s="154"/>
      <c r="G265" s="113"/>
      <c r="H265" s="39">
        <v>1</v>
      </c>
      <c r="I265" s="303" t="s">
        <v>1066</v>
      </c>
      <c r="J265" s="298" t="s">
        <v>3857</v>
      </c>
      <c r="K265" s="49"/>
      <c r="L265" s="49"/>
      <c r="M265" s="49"/>
      <c r="N265" s="49"/>
      <c r="O265" s="49"/>
      <c r="P265" s="49"/>
      <c r="Q265" s="49"/>
      <c r="R265" s="49"/>
    </row>
    <row r="266" spans="1:18" x14ac:dyDescent="0.25">
      <c r="A266" s="313" t="s">
        <v>5004</v>
      </c>
      <c r="B266" s="151"/>
      <c r="C266" s="49" t="s">
        <v>4668</v>
      </c>
      <c r="D266" s="311" t="s">
        <v>4786</v>
      </c>
      <c r="E266" s="314" t="s">
        <v>5005</v>
      </c>
      <c r="F266" s="112"/>
      <c r="G266" s="113"/>
      <c r="H266" s="39">
        <v>1</v>
      </c>
      <c r="I266" s="114" t="s">
        <v>3292</v>
      </c>
      <c r="J266" s="154" t="s">
        <v>1066</v>
      </c>
      <c r="K266" s="49" t="s">
        <v>1483</v>
      </c>
      <c r="L266" s="49"/>
      <c r="M266" s="49"/>
      <c r="N266" s="49"/>
      <c r="O266" s="49"/>
      <c r="P266" s="49"/>
      <c r="Q266" s="49"/>
      <c r="R266" s="49"/>
    </row>
    <row r="267" ht="15" customHeight="1" spans="1:18" s="285" customFormat="1" x14ac:dyDescent="0.25">
      <c r="A267" s="315" t="s">
        <v>5006</v>
      </c>
      <c r="B267" s="148"/>
      <c r="C267" s="92" t="s">
        <v>4668</v>
      </c>
      <c r="D267" s="316" t="s">
        <v>4786</v>
      </c>
      <c r="E267" s="317" t="s">
        <v>5007</v>
      </c>
      <c r="F267" s="94"/>
      <c r="G267" s="95" t="s">
        <v>5008</v>
      </c>
      <c r="H267" s="96">
        <v>0</v>
      </c>
      <c r="I267" s="301" t="s">
        <v>1931</v>
      </c>
      <c r="J267" s="302"/>
      <c r="K267" s="92"/>
      <c r="L267" s="92"/>
      <c r="M267" s="92"/>
      <c r="N267" s="92"/>
      <c r="O267" s="92"/>
      <c r="P267" s="92"/>
      <c r="Q267" s="92"/>
      <c r="R267" s="92"/>
    </row>
    <row r="268" spans="1:18" x14ac:dyDescent="0.25">
      <c r="A268" s="313" t="s">
        <v>5009</v>
      </c>
      <c r="B268" s="151"/>
      <c r="C268" s="49" t="s">
        <v>4649</v>
      </c>
      <c r="D268" s="311" t="s">
        <v>4786</v>
      </c>
      <c r="E268" s="313" t="s">
        <v>5010</v>
      </c>
      <c r="F268" s="112"/>
      <c r="G268" s="113"/>
      <c r="H268" s="39">
        <v>1</v>
      </c>
      <c r="I268" s="114" t="s">
        <v>3292</v>
      </c>
      <c r="J268" s="154"/>
      <c r="K268" s="49"/>
      <c r="L268" s="49"/>
      <c r="M268" s="49"/>
      <c r="N268" s="49"/>
      <c r="O268" s="49"/>
      <c r="P268" s="49"/>
      <c r="Q268" s="49"/>
      <c r="R268" s="49"/>
    </row>
    <row r="269" spans="1:18" x14ac:dyDescent="0.25">
      <c r="A269" s="313" t="s">
        <v>5011</v>
      </c>
      <c r="B269" s="103"/>
      <c r="C269" s="49" t="s">
        <v>4649</v>
      </c>
      <c r="D269" s="311" t="s">
        <v>4786</v>
      </c>
      <c r="E269" s="313" t="s">
        <v>5012</v>
      </c>
      <c r="F269" s="154"/>
      <c r="G269" s="113"/>
      <c r="H269" s="96">
        <v>0</v>
      </c>
      <c r="I269" s="114" t="s">
        <v>3292</v>
      </c>
      <c r="J269" s="154" t="s">
        <v>553</v>
      </c>
      <c r="K269" s="49"/>
      <c r="L269" s="49"/>
      <c r="M269" s="305"/>
      <c r="N269" s="49"/>
      <c r="O269" s="49"/>
      <c r="P269" s="49"/>
      <c r="Q269" s="49"/>
      <c r="R269" s="49"/>
    </row>
    <row r="270" spans="1:18" x14ac:dyDescent="0.25">
      <c r="A270" s="318" t="s">
        <v>5013</v>
      </c>
      <c r="B270" s="103"/>
      <c r="C270" s="49" t="s">
        <v>4432</v>
      </c>
      <c r="D270" s="311" t="s">
        <v>4786</v>
      </c>
      <c r="E270" s="313" t="s">
        <v>5014</v>
      </c>
      <c r="F270" s="154"/>
      <c r="G270" s="113"/>
      <c r="H270" s="39">
        <v>7</v>
      </c>
      <c r="I270" s="114" t="s">
        <v>997</v>
      </c>
      <c r="J270" s="154" t="s">
        <v>1207</v>
      </c>
      <c r="K270" s="49"/>
      <c r="L270" s="49"/>
      <c r="M270" s="305"/>
      <c r="N270" s="49"/>
      <c r="O270" s="49"/>
      <c r="P270" s="49"/>
      <c r="Q270" s="49"/>
      <c r="R270" s="49"/>
    </row>
    <row r="271" spans="1:18" x14ac:dyDescent="0.25">
      <c r="A271" s="101" t="s">
        <v>5015</v>
      </c>
      <c r="B271" s="166"/>
      <c r="C271" s="49" t="s">
        <v>5016</v>
      </c>
      <c r="D271" s="74" t="s">
        <v>29</v>
      </c>
      <c r="E271" s="101" t="s">
        <v>5017</v>
      </c>
      <c r="F271" s="168"/>
      <c r="G271" s="169"/>
      <c r="H271" s="170">
        <v>1</v>
      </c>
      <c r="I271" s="114"/>
      <c r="J271" s="303"/>
      <c r="K271" s="49"/>
      <c r="L271" s="49"/>
      <c r="M271" s="49"/>
      <c r="N271" s="49"/>
      <c r="O271" s="49"/>
      <c r="P271" s="49"/>
      <c r="Q271" s="49"/>
      <c r="R271" s="49"/>
    </row>
    <row r="272" spans="1:18" x14ac:dyDescent="0.25">
      <c r="A272" s="101" t="s">
        <v>5018</v>
      </c>
      <c r="B272" s="166"/>
      <c r="C272" s="49" t="s">
        <v>5016</v>
      </c>
      <c r="D272" s="74" t="s">
        <v>29</v>
      </c>
      <c r="E272" s="101" t="s">
        <v>2821</v>
      </c>
      <c r="F272" s="168"/>
      <c r="G272" s="169"/>
      <c r="H272" s="170">
        <v>1</v>
      </c>
      <c r="I272" s="114"/>
      <c r="J272" s="303"/>
      <c r="K272" s="49"/>
      <c r="L272" s="49"/>
      <c r="M272" s="49"/>
      <c r="N272" s="49"/>
      <c r="O272" s="49"/>
      <c r="P272" s="49"/>
      <c r="Q272" s="49"/>
      <c r="R272" s="49"/>
    </row>
    <row r="273" spans="1:18" s="285" customFormat="1" x14ac:dyDescent="0.25">
      <c r="A273" s="92" t="s">
        <v>5019</v>
      </c>
      <c r="B273" s="93"/>
      <c r="C273" s="92" t="s">
        <v>5016</v>
      </c>
      <c r="D273" s="20" t="s">
        <v>5020</v>
      </c>
      <c r="E273" s="92" t="s">
        <v>5021</v>
      </c>
      <c r="F273" s="94"/>
      <c r="G273" s="95"/>
      <c r="H273" s="96">
        <v>0</v>
      </c>
      <c r="I273" s="301"/>
      <c r="J273" s="302"/>
      <c r="K273" s="92"/>
      <c r="L273" s="92"/>
      <c r="M273" s="92"/>
      <c r="N273" s="92"/>
      <c r="O273" s="92"/>
      <c r="P273" s="92"/>
      <c r="Q273" s="92"/>
      <c r="R273" s="92"/>
    </row>
    <row r="274" spans="1:18" x14ac:dyDescent="0.25">
      <c r="A274" s="49" t="s">
        <v>5022</v>
      </c>
      <c r="B274" s="103"/>
      <c r="C274" s="49" t="s">
        <v>5016</v>
      </c>
      <c r="D274" s="74" t="s">
        <v>5020</v>
      </c>
      <c r="E274" s="49" t="s">
        <v>5023</v>
      </c>
      <c r="F274" s="112"/>
      <c r="G274" s="113"/>
      <c r="H274" s="39">
        <v>2</v>
      </c>
      <c r="I274" s="114"/>
      <c r="J274" s="154"/>
      <c r="K274" s="49"/>
      <c r="L274" s="49"/>
      <c r="M274" s="49"/>
      <c r="N274" s="49"/>
      <c r="O274" s="49"/>
      <c r="P274" s="49"/>
      <c r="Q274" s="49"/>
      <c r="R274" s="49"/>
    </row>
    <row r="275" spans="1:18" x14ac:dyDescent="0.25">
      <c r="A275" s="49" t="s">
        <v>5024</v>
      </c>
      <c r="B275" s="103"/>
      <c r="C275" s="49" t="s">
        <v>5016</v>
      </c>
      <c r="D275" s="74" t="s">
        <v>5025</v>
      </c>
      <c r="E275" s="49" t="s">
        <v>5026</v>
      </c>
      <c r="F275" s="112"/>
      <c r="G275" s="113"/>
      <c r="H275" s="39">
        <v>1</v>
      </c>
      <c r="I275" s="114"/>
      <c r="J275" s="154"/>
      <c r="K275" s="49"/>
      <c r="L275" s="49"/>
      <c r="M275" s="49"/>
      <c r="N275" s="49"/>
      <c r="O275" s="49"/>
      <c r="P275" s="49"/>
      <c r="Q275" s="49"/>
      <c r="R275" s="49"/>
    </row>
    <row r="276" spans="1:18" x14ac:dyDescent="0.25">
      <c r="A276" s="49" t="s">
        <v>5027</v>
      </c>
      <c r="B276" s="103"/>
      <c r="C276" s="49" t="s">
        <v>4709</v>
      </c>
      <c r="D276" s="74" t="s">
        <v>4433</v>
      </c>
      <c r="E276" s="49" t="s">
        <v>5028</v>
      </c>
      <c r="F276" s="112"/>
      <c r="G276" s="113"/>
      <c r="H276" s="39">
        <v>7</v>
      </c>
      <c r="I276" s="114" t="s">
        <v>433</v>
      </c>
      <c r="J276" s="154" t="s">
        <v>404</v>
      </c>
      <c r="K276" s="49"/>
      <c r="L276" s="49"/>
      <c r="M276" s="49"/>
      <c r="N276" s="49"/>
      <c r="O276" s="49"/>
      <c r="P276" s="49"/>
      <c r="Q276" s="49"/>
      <c r="R276" s="49"/>
    </row>
    <row r="277" spans="1:18" x14ac:dyDescent="0.25">
      <c r="A277" s="49" t="s">
        <v>5029</v>
      </c>
      <c r="B277" s="103"/>
      <c r="C277" s="49" t="s">
        <v>4709</v>
      </c>
      <c r="D277" s="74" t="s">
        <v>4433</v>
      </c>
      <c r="E277" s="49" t="s">
        <v>5030</v>
      </c>
      <c r="F277" s="112"/>
      <c r="G277" s="113"/>
      <c r="H277" s="39">
        <v>10</v>
      </c>
      <c r="I277" s="114"/>
      <c r="J277" s="154"/>
      <c r="K277" s="49"/>
      <c r="L277" s="49"/>
      <c r="M277" s="49"/>
      <c r="N277" s="49"/>
      <c r="O277" s="49"/>
      <c r="P277" s="49"/>
      <c r="Q277" s="49"/>
      <c r="R277" s="49"/>
    </row>
    <row r="278" spans="1:18" x14ac:dyDescent="0.25">
      <c r="A278" s="49" t="s">
        <v>5031</v>
      </c>
      <c r="B278" s="103"/>
      <c r="C278" s="49" t="s">
        <v>4709</v>
      </c>
      <c r="D278" s="74" t="s">
        <v>4433</v>
      </c>
      <c r="E278" s="49" t="s">
        <v>5032</v>
      </c>
      <c r="F278" s="112"/>
      <c r="G278" s="113"/>
      <c r="H278" s="39">
        <v>10</v>
      </c>
      <c r="I278" s="114"/>
      <c r="J278" s="154"/>
      <c r="K278" s="49"/>
      <c r="L278" s="49"/>
      <c r="M278" s="49"/>
      <c r="N278" s="49"/>
      <c r="O278" s="49"/>
      <c r="P278" s="49"/>
      <c r="Q278" s="49"/>
      <c r="R278" s="49"/>
    </row>
    <row r="279" spans="1:18" x14ac:dyDescent="0.25">
      <c r="A279" s="49" t="s">
        <v>5033</v>
      </c>
      <c r="B279" s="151"/>
      <c r="C279" s="49" t="s">
        <v>4709</v>
      </c>
      <c r="D279" s="74" t="s">
        <v>4433</v>
      </c>
      <c r="E279" s="49" t="s">
        <v>5034</v>
      </c>
      <c r="F279" s="112"/>
      <c r="G279" s="113"/>
      <c r="H279" s="39">
        <v>1</v>
      </c>
      <c r="I279" s="114" t="s">
        <v>403</v>
      </c>
      <c r="J279" s="154"/>
      <c r="K279" s="299"/>
      <c r="L279" s="49"/>
      <c r="M279" s="49"/>
      <c r="N279" s="49"/>
      <c r="O279" s="49"/>
      <c r="P279" s="49"/>
      <c r="Q279" s="49"/>
      <c r="R279" s="49"/>
    </row>
    <row r="280" spans="1:18" x14ac:dyDescent="0.25">
      <c r="A280" s="49" t="s">
        <v>5035</v>
      </c>
      <c r="B280" s="151"/>
      <c r="C280" s="49" t="s">
        <v>4709</v>
      </c>
      <c r="D280" s="74" t="s">
        <v>4433</v>
      </c>
      <c r="E280" s="49" t="s">
        <v>5036</v>
      </c>
      <c r="F280" s="112"/>
      <c r="G280" s="113"/>
      <c r="H280" s="39">
        <v>3</v>
      </c>
      <c r="I280" s="114"/>
      <c r="J280" s="154"/>
      <c r="K280" s="299"/>
      <c r="L280" s="49"/>
      <c r="M280" s="49"/>
      <c r="N280" s="49"/>
      <c r="O280" s="49"/>
      <c r="P280" s="49"/>
      <c r="Q280" s="49"/>
      <c r="R280" s="49"/>
    </row>
    <row r="281" spans="1:18" x14ac:dyDescent="0.25">
      <c r="A281" s="49" t="s">
        <v>5037</v>
      </c>
      <c r="B281" s="151"/>
      <c r="C281" s="49" t="s">
        <v>4709</v>
      </c>
      <c r="D281" s="74" t="s">
        <v>4433</v>
      </c>
      <c r="E281" s="49" t="s">
        <v>5038</v>
      </c>
      <c r="F281" s="112"/>
      <c r="G281" s="113"/>
      <c r="H281" s="39">
        <v>3</v>
      </c>
      <c r="I281" s="114"/>
      <c r="J281" s="154"/>
      <c r="K281" s="299"/>
      <c r="L281" s="49"/>
      <c r="M281" s="49"/>
      <c r="N281" s="49"/>
      <c r="O281" s="49"/>
      <c r="P281" s="49"/>
      <c r="Q281" s="49"/>
      <c r="R281" s="49"/>
    </row>
    <row r="282" spans="1:18" x14ac:dyDescent="0.25">
      <c r="A282" s="49" t="s">
        <v>5039</v>
      </c>
      <c r="B282" s="151"/>
      <c r="C282" s="49" t="s">
        <v>4709</v>
      </c>
      <c r="D282" s="74" t="s">
        <v>4433</v>
      </c>
      <c r="E282" s="49" t="s">
        <v>5040</v>
      </c>
      <c r="F282" s="112"/>
      <c r="G282" s="113"/>
      <c r="H282" s="39">
        <v>3</v>
      </c>
      <c r="I282" s="114"/>
      <c r="J282" s="154"/>
      <c r="K282" s="49"/>
      <c r="L282" s="49"/>
      <c r="M282" s="49"/>
      <c r="N282" s="49"/>
      <c r="O282" s="49"/>
      <c r="P282" s="49"/>
      <c r="Q282" s="49"/>
      <c r="R282" s="49"/>
    </row>
    <row r="283" spans="1:18" x14ac:dyDescent="0.25">
      <c r="A283" s="49" t="s">
        <v>5041</v>
      </c>
      <c r="B283" s="151"/>
      <c r="C283" s="49" t="s">
        <v>4709</v>
      </c>
      <c r="D283" s="74" t="s">
        <v>4433</v>
      </c>
      <c r="E283" s="49" t="s">
        <v>5042</v>
      </c>
      <c r="F283" s="112"/>
      <c r="G283" s="113"/>
      <c r="H283" s="39">
        <v>3</v>
      </c>
      <c r="I283" s="303"/>
      <c r="J283" s="154"/>
      <c r="K283" s="49"/>
      <c r="L283" s="49"/>
      <c r="M283" s="49"/>
      <c r="N283" s="49"/>
      <c r="O283" s="49"/>
      <c r="P283" s="49"/>
      <c r="Q283" s="49"/>
      <c r="R283" s="49"/>
    </row>
    <row r="284" spans="1:18" x14ac:dyDescent="0.25">
      <c r="A284" s="49" t="s">
        <v>5043</v>
      </c>
      <c r="B284" s="151"/>
      <c r="C284" s="49" t="s">
        <v>4709</v>
      </c>
      <c r="D284" s="74" t="s">
        <v>4433</v>
      </c>
      <c r="E284" s="49" t="s">
        <v>5044</v>
      </c>
      <c r="F284" s="112"/>
      <c r="G284" s="113"/>
      <c r="H284" s="39">
        <v>3</v>
      </c>
      <c r="I284" s="303"/>
      <c r="J284" s="154"/>
      <c r="K284" s="49"/>
      <c r="L284" s="49"/>
      <c r="M284" s="49"/>
      <c r="N284" s="49"/>
      <c r="O284" s="49"/>
      <c r="P284" s="49"/>
      <c r="Q284" s="49"/>
      <c r="R284" s="49"/>
    </row>
    <row r="285" spans="1:18" x14ac:dyDescent="0.25">
      <c r="A285" s="150"/>
      <c r="B285" s="151"/>
      <c r="C285" s="49"/>
      <c r="D285" s="49"/>
      <c r="E285" s="49"/>
      <c r="F285" s="112"/>
      <c r="G285" s="113"/>
      <c r="H285" s="39"/>
      <c r="I285" s="114"/>
      <c r="J285" s="154"/>
      <c r="K285" s="49"/>
      <c r="L285" s="49"/>
      <c r="M285" s="49"/>
      <c r="N285" s="49"/>
      <c r="O285" s="49"/>
      <c r="P285" s="49"/>
      <c r="Q285" s="49"/>
      <c r="R285" s="49"/>
    </row>
    <row r="286" spans="1:18" x14ac:dyDescent="0.25">
      <c r="A286" s="150"/>
      <c r="B286" s="151"/>
      <c r="C286" s="49"/>
      <c r="D286" s="49"/>
      <c r="E286" s="49"/>
      <c r="F286" s="112"/>
      <c r="G286" s="113"/>
      <c r="H286" s="39"/>
      <c r="I286" s="114"/>
      <c r="J286" s="154"/>
      <c r="K286" s="49"/>
      <c r="L286" s="49"/>
      <c r="M286" s="49"/>
      <c r="N286" s="49"/>
      <c r="O286" s="49"/>
      <c r="P286" s="49"/>
      <c r="Q286" s="49"/>
      <c r="R286" s="49"/>
    </row>
    <row r="287" spans="1:18" x14ac:dyDescent="0.25">
      <c r="A287" s="150"/>
      <c r="B287" s="151"/>
      <c r="C287" s="49"/>
      <c r="D287" s="49"/>
      <c r="E287" s="49"/>
      <c r="F287" s="112"/>
      <c r="G287" s="113"/>
      <c r="H287" s="39"/>
      <c r="I287" s="114"/>
      <c r="J287" s="154"/>
      <c r="K287" s="49"/>
      <c r="L287" s="49"/>
      <c r="M287" s="49"/>
      <c r="N287" s="49"/>
      <c r="O287" s="49"/>
      <c r="P287" s="49"/>
      <c r="Q287" s="49"/>
      <c r="R287" s="49"/>
    </row>
    <row r="288" spans="1:18" x14ac:dyDescent="0.25">
      <c r="A288" s="150"/>
      <c r="B288" s="151"/>
      <c r="C288" s="49"/>
      <c r="D288" s="49"/>
      <c r="E288" s="49"/>
      <c r="F288" s="112"/>
      <c r="G288" s="113"/>
      <c r="H288" s="39"/>
      <c r="I288" s="303"/>
      <c r="J288" s="154"/>
      <c r="K288" s="49"/>
      <c r="L288" s="49"/>
      <c r="M288" s="49"/>
      <c r="N288" s="49"/>
      <c r="O288" s="49"/>
      <c r="P288" s="49"/>
      <c r="Q288" s="49"/>
      <c r="R288" s="49"/>
    </row>
    <row r="289" spans="1:18" x14ac:dyDescent="0.25">
      <c r="A289" s="150"/>
      <c r="B289" s="151"/>
      <c r="C289" s="49"/>
      <c r="D289" s="49"/>
      <c r="E289" s="49"/>
      <c r="F289" s="112"/>
      <c r="G289" s="113"/>
      <c r="H289" s="39"/>
      <c r="I289" s="114"/>
      <c r="J289" s="154"/>
      <c r="K289" s="49"/>
      <c r="L289" s="49"/>
      <c r="M289" s="49"/>
      <c r="N289" s="49"/>
      <c r="O289" s="49"/>
      <c r="P289" s="49"/>
      <c r="Q289" s="49"/>
      <c r="R289" s="49"/>
    </row>
    <row r="290" spans="1:18" x14ac:dyDescent="0.25">
      <c r="A290" s="150"/>
      <c r="B290" s="151"/>
      <c r="C290" s="49"/>
      <c r="D290" s="49"/>
      <c r="E290" s="49"/>
      <c r="F290" s="112"/>
      <c r="G290" s="113"/>
      <c r="H290" s="39"/>
      <c r="I290" s="114"/>
      <c r="J290" s="154"/>
      <c r="K290" s="49"/>
      <c r="L290" s="49"/>
      <c r="M290" s="49"/>
      <c r="N290" s="49"/>
      <c r="O290" s="49"/>
      <c r="P290" s="49"/>
      <c r="Q290" s="49"/>
      <c r="R290" s="49"/>
    </row>
    <row r="291" spans="1:18" x14ac:dyDescent="0.25">
      <c r="A291" s="101"/>
      <c r="B291" s="166"/>
      <c r="C291" s="101"/>
      <c r="D291" s="101"/>
      <c r="E291" s="49"/>
      <c r="F291" s="168"/>
      <c r="G291" s="169"/>
      <c r="H291" s="170"/>
      <c r="I291" s="114"/>
      <c r="J291" s="154"/>
      <c r="K291" s="49"/>
      <c r="L291" s="49"/>
      <c r="M291" s="49"/>
      <c r="N291" s="49"/>
      <c r="O291" s="49"/>
      <c r="P291" s="49"/>
      <c r="Q291" s="49"/>
      <c r="R291" s="49"/>
    </row>
    <row r="292" spans="1:18" x14ac:dyDescent="0.25">
      <c r="A292" s="101"/>
      <c r="B292" s="166"/>
      <c r="C292" s="101"/>
      <c r="D292" s="101"/>
      <c r="E292" s="49"/>
      <c r="F292" s="168"/>
      <c r="G292" s="169"/>
      <c r="H292" s="170"/>
      <c r="I292" s="114"/>
      <c r="J292" s="154"/>
      <c r="K292" s="49"/>
      <c r="L292" s="49"/>
      <c r="M292" s="49"/>
      <c r="N292" s="49"/>
      <c r="O292" s="49"/>
      <c r="P292" s="49"/>
      <c r="Q292" s="49"/>
      <c r="R292" s="49"/>
    </row>
    <row r="293" spans="1:18" x14ac:dyDescent="0.25">
      <c r="A293" s="49"/>
      <c r="B293" s="103"/>
      <c r="C293" s="299"/>
      <c r="D293" s="74"/>
      <c r="E293" s="49"/>
      <c r="F293" s="112"/>
      <c r="G293" s="113"/>
      <c r="H293" s="39"/>
      <c r="I293" s="114"/>
      <c r="J293" s="154"/>
      <c r="K293" s="49"/>
      <c r="L293" s="49"/>
      <c r="M293" s="49"/>
      <c r="N293" s="49"/>
      <c r="O293" s="49"/>
      <c r="P293" s="49"/>
      <c r="Q293" s="49"/>
      <c r="R293" s="49"/>
    </row>
    <row r="294" spans="1:18" x14ac:dyDescent="0.25">
      <c r="A294" s="49"/>
      <c r="B294" s="103"/>
      <c r="C294" s="299"/>
      <c r="D294" s="74"/>
      <c r="E294" s="49"/>
      <c r="F294" s="112"/>
      <c r="G294" s="113"/>
      <c r="H294" s="39"/>
      <c r="I294" s="114"/>
      <c r="J294" s="154"/>
      <c r="K294" s="49"/>
      <c r="L294" s="49"/>
      <c r="M294" s="49"/>
      <c r="N294" s="49"/>
      <c r="O294" s="49"/>
      <c r="P294" s="49"/>
      <c r="Q294" s="49"/>
      <c r="R294" s="49"/>
    </row>
    <row r="295" spans="1:18" x14ac:dyDescent="0.25">
      <c r="A295" s="49"/>
      <c r="B295" s="103"/>
      <c r="C295" s="299"/>
      <c r="D295" s="74"/>
      <c r="E295" s="49"/>
      <c r="F295" s="112"/>
      <c r="G295" s="113"/>
      <c r="H295" s="39"/>
      <c r="I295" s="114"/>
      <c r="J295" s="154"/>
      <c r="K295" s="49"/>
      <c r="L295" s="49"/>
      <c r="M295" s="49"/>
      <c r="N295" s="49"/>
      <c r="O295" s="49"/>
      <c r="P295" s="49"/>
      <c r="Q295" s="49"/>
      <c r="R295" s="49"/>
    </row>
    <row r="296" spans="1:18" x14ac:dyDescent="0.25">
      <c r="A296" s="49"/>
      <c r="B296" s="103"/>
      <c r="C296" s="299"/>
      <c r="D296" s="74"/>
      <c r="E296" s="49"/>
      <c r="F296" s="112"/>
      <c r="G296" s="113"/>
      <c r="H296" s="39"/>
      <c r="I296" s="303"/>
      <c r="J296" s="154"/>
      <c r="K296" s="49"/>
      <c r="L296" s="49"/>
      <c r="M296" s="49"/>
      <c r="N296" s="49"/>
      <c r="O296" s="49"/>
      <c r="P296" s="49"/>
      <c r="Q296" s="49"/>
      <c r="R296" s="49"/>
    </row>
    <row r="297" spans="1:18" x14ac:dyDescent="0.25">
      <c r="A297" s="49"/>
      <c r="B297" s="103"/>
      <c r="C297" s="299"/>
      <c r="D297" s="74"/>
      <c r="E297" s="101"/>
      <c r="F297" s="112"/>
      <c r="G297" s="113"/>
      <c r="H297" s="39"/>
      <c r="I297" s="114"/>
      <c r="J297" s="154"/>
      <c r="K297" s="49"/>
      <c r="L297" s="49"/>
      <c r="M297" s="49"/>
      <c r="N297" s="49"/>
      <c r="O297" s="49"/>
      <c r="P297" s="49"/>
      <c r="Q297" s="49"/>
      <c r="R297" s="49"/>
    </row>
    <row r="298" spans="1:18" x14ac:dyDescent="0.25">
      <c r="A298" s="49"/>
      <c r="B298" s="103"/>
      <c r="C298" s="49"/>
      <c r="D298" s="74"/>
      <c r="E298" s="101"/>
      <c r="F298" s="112"/>
      <c r="G298" s="113"/>
      <c r="H298" s="39"/>
      <c r="I298" s="114"/>
      <c r="J298" s="154"/>
      <c r="K298" s="49"/>
      <c r="L298" s="49"/>
      <c r="M298" s="49"/>
      <c r="N298" s="49"/>
      <c r="O298" s="49"/>
      <c r="P298" s="49"/>
      <c r="Q298" s="49"/>
      <c r="R298" s="49"/>
    </row>
    <row r="299" spans="1:18" x14ac:dyDescent="0.25">
      <c r="A299" s="49"/>
      <c r="B299" s="103"/>
      <c r="C299" s="49"/>
      <c r="D299" s="74"/>
      <c r="E299" s="49"/>
      <c r="F299" s="112"/>
      <c r="G299" s="113"/>
      <c r="H299" s="39"/>
      <c r="I299" s="114"/>
      <c r="J299" s="154"/>
      <c r="K299" s="49"/>
      <c r="L299" s="49"/>
      <c r="M299" s="49"/>
      <c r="N299" s="49"/>
      <c r="O299" s="49"/>
      <c r="P299" s="49"/>
      <c r="Q299" s="49"/>
      <c r="R299" s="49"/>
    </row>
    <row r="300" spans="1:18" x14ac:dyDescent="0.25">
      <c r="A300" s="49"/>
      <c r="B300" s="103"/>
      <c r="C300" s="49"/>
      <c r="D300" s="74"/>
      <c r="E300" s="49"/>
      <c r="F300" s="112"/>
      <c r="G300" s="113"/>
      <c r="H300" s="39"/>
      <c r="I300" s="303"/>
      <c r="J300" s="154"/>
      <c r="K300" s="49"/>
      <c r="L300" s="49"/>
      <c r="M300" s="49"/>
      <c r="N300" s="49"/>
      <c r="O300" s="49"/>
      <c r="P300" s="49"/>
      <c r="Q300" s="49"/>
      <c r="R300" s="49"/>
    </row>
    <row r="301" spans="1:18" x14ac:dyDescent="0.25">
      <c r="A301" s="49"/>
      <c r="B301" s="103"/>
      <c r="C301" s="49"/>
      <c r="D301" s="74"/>
      <c r="E301" s="49"/>
      <c r="F301" s="112"/>
      <c r="G301" s="113"/>
      <c r="H301" s="39"/>
      <c r="I301" s="114"/>
      <c r="J301" s="154"/>
      <c r="K301" s="49"/>
      <c r="L301" s="49"/>
      <c r="M301" s="49"/>
      <c r="N301" s="49"/>
      <c r="O301" s="49"/>
      <c r="P301" s="49"/>
      <c r="Q301" s="49"/>
      <c r="R301" s="49"/>
    </row>
    <row r="302" spans="1:18" x14ac:dyDescent="0.25">
      <c r="A302" s="49"/>
      <c r="B302" s="103"/>
      <c r="C302" s="299"/>
      <c r="D302" s="74"/>
      <c r="E302" s="49"/>
      <c r="F302" s="112"/>
      <c r="G302" s="113"/>
      <c r="H302" s="39"/>
      <c r="I302" s="303"/>
      <c r="J302" s="154"/>
      <c r="K302" s="49"/>
      <c r="L302" s="49"/>
      <c r="M302" s="49"/>
      <c r="N302" s="49"/>
      <c r="O302" s="49"/>
      <c r="P302" s="49"/>
      <c r="Q302" s="49"/>
      <c r="R302" s="49"/>
    </row>
    <row r="303" spans="1:18" x14ac:dyDescent="0.25">
      <c r="A303" s="49"/>
      <c r="B303" s="103"/>
      <c r="C303" s="299"/>
      <c r="D303" s="74"/>
      <c r="E303" s="49"/>
      <c r="F303" s="112"/>
      <c r="G303" s="113"/>
      <c r="H303" s="39"/>
      <c r="I303" s="303"/>
      <c r="J303" s="154"/>
      <c r="K303" s="49"/>
      <c r="L303" s="49"/>
      <c r="M303" s="49"/>
      <c r="N303" s="49"/>
      <c r="O303" s="49"/>
      <c r="P303" s="49"/>
      <c r="Q303" s="49"/>
      <c r="R303" s="49"/>
    </row>
    <row r="304" spans="1:18" x14ac:dyDescent="0.25">
      <c r="A304" s="49"/>
      <c r="B304" s="103"/>
      <c r="C304" s="299"/>
      <c r="D304" s="74"/>
      <c r="E304" s="49"/>
      <c r="F304" s="112"/>
      <c r="G304" s="113"/>
      <c r="H304" s="39"/>
      <c r="I304" s="303"/>
      <c r="J304" s="154"/>
      <c r="K304" s="49"/>
      <c r="L304" s="49"/>
      <c r="M304" s="49"/>
      <c r="N304" s="49"/>
      <c r="O304" s="49"/>
      <c r="P304" s="49"/>
      <c r="Q304" s="49"/>
      <c r="R304" s="49"/>
    </row>
    <row r="305" spans="1:18" x14ac:dyDescent="0.25">
      <c r="A305" s="49"/>
      <c r="B305" s="103"/>
      <c r="C305" s="299"/>
      <c r="D305" s="74"/>
      <c r="E305" s="49"/>
      <c r="F305" s="112"/>
      <c r="G305" s="113"/>
      <c r="H305" s="39"/>
      <c r="I305" s="303"/>
      <c r="J305" s="154"/>
      <c r="K305" s="49"/>
      <c r="L305" s="49"/>
      <c r="M305" s="49"/>
      <c r="N305" s="49"/>
      <c r="O305" s="49"/>
      <c r="P305" s="49"/>
      <c r="Q305" s="49"/>
      <c r="R305" s="49"/>
    </row>
    <row r="306" spans="1:18" x14ac:dyDescent="0.25">
      <c r="A306" s="150"/>
      <c r="B306" s="151"/>
      <c r="C306" s="49"/>
      <c r="D306" s="49"/>
      <c r="E306" s="49"/>
      <c r="F306" s="112"/>
      <c r="G306" s="113"/>
      <c r="H306" s="39"/>
      <c r="I306" s="303"/>
      <c r="J306" s="154"/>
      <c r="K306" s="299"/>
      <c r="L306" s="49"/>
      <c r="M306" s="49"/>
      <c r="N306" s="49"/>
      <c r="O306" s="49"/>
      <c r="P306" s="49"/>
      <c r="Q306" s="49"/>
      <c r="R306" s="49"/>
    </row>
    <row r="307" spans="1:18" x14ac:dyDescent="0.25">
      <c r="A307" s="299"/>
      <c r="B307" s="103"/>
      <c r="C307" s="49"/>
      <c r="D307" s="49"/>
      <c r="E307" s="49"/>
      <c r="F307" s="112"/>
      <c r="G307" s="113"/>
      <c r="H307" s="39"/>
      <c r="I307" s="114"/>
      <c r="J307" s="154"/>
      <c r="K307" s="49"/>
      <c r="L307" s="49"/>
      <c r="M307" s="49"/>
      <c r="N307" s="49"/>
      <c r="O307" s="49"/>
      <c r="P307" s="49"/>
      <c r="Q307" s="49"/>
      <c r="R307" s="49"/>
    </row>
    <row r="308" spans="1:18" x14ac:dyDescent="0.25">
      <c r="A308" s="299"/>
      <c r="B308" s="103"/>
      <c r="C308" s="49"/>
      <c r="D308" s="49"/>
      <c r="E308" s="49"/>
      <c r="F308" s="112"/>
      <c r="G308" s="113"/>
      <c r="H308" s="39"/>
      <c r="I308" s="114"/>
      <c r="J308" s="154"/>
      <c r="K308" s="49"/>
      <c r="L308" s="49"/>
      <c r="M308" s="49"/>
      <c r="N308" s="49"/>
      <c r="O308" s="49"/>
      <c r="P308" s="49"/>
      <c r="Q308" s="49"/>
      <c r="R308" s="49"/>
    </row>
    <row r="309" spans="1:18" x14ac:dyDescent="0.25">
      <c r="A309" s="299"/>
      <c r="B309" s="103"/>
      <c r="C309" s="49"/>
      <c r="D309" s="49"/>
      <c r="E309" s="49"/>
      <c r="F309" s="112"/>
      <c r="G309" s="113"/>
      <c r="H309" s="39"/>
      <c r="I309" s="114"/>
      <c r="J309" s="154"/>
      <c r="K309" s="49"/>
      <c r="L309" s="49"/>
      <c r="M309" s="49"/>
      <c r="N309" s="49"/>
      <c r="O309" s="49"/>
      <c r="P309" s="49"/>
      <c r="Q309" s="49"/>
      <c r="R309" s="49"/>
    </row>
    <row r="310" spans="1:18" x14ac:dyDescent="0.25">
      <c r="A310" s="299"/>
      <c r="B310" s="103"/>
      <c r="C310" s="49"/>
      <c r="D310" s="49"/>
      <c r="E310" s="49"/>
      <c r="F310" s="112"/>
      <c r="G310" s="113"/>
      <c r="H310" s="39"/>
      <c r="I310" s="114"/>
      <c r="J310" s="154"/>
      <c r="K310" s="49"/>
      <c r="L310" s="49"/>
      <c r="M310" s="49"/>
      <c r="N310" s="49"/>
      <c r="O310" s="49"/>
      <c r="P310" s="49"/>
      <c r="Q310" s="49"/>
      <c r="R310" s="49"/>
    </row>
    <row r="311" spans="1:18" x14ac:dyDescent="0.25">
      <c r="A311" s="299"/>
      <c r="B311" s="103"/>
      <c r="C311" s="49"/>
      <c r="D311" s="49"/>
      <c r="E311" s="49"/>
      <c r="F311" s="112"/>
      <c r="G311" s="113"/>
      <c r="H311" s="39"/>
      <c r="I311" s="154"/>
      <c r="J311" s="154"/>
      <c r="K311" s="49"/>
      <c r="L311" s="49"/>
      <c r="M311" s="49"/>
      <c r="N311" s="49"/>
      <c r="O311" s="49"/>
      <c r="P311" s="49"/>
      <c r="Q311" s="49"/>
      <c r="R311" s="49"/>
    </row>
    <row r="312" spans="1:18" x14ac:dyDescent="0.25">
      <c r="A312" s="299"/>
      <c r="B312" s="103"/>
      <c r="C312" s="49"/>
      <c r="D312" s="49"/>
      <c r="E312" s="49"/>
      <c r="F312" s="112"/>
      <c r="G312" s="113"/>
      <c r="H312" s="39"/>
      <c r="I312" s="154"/>
      <c r="J312" s="154"/>
      <c r="K312" s="49"/>
      <c r="L312" s="49"/>
      <c r="M312" s="49"/>
      <c r="N312" s="49"/>
      <c r="O312" s="49"/>
      <c r="P312" s="49"/>
      <c r="Q312" s="49"/>
      <c r="R312" s="49"/>
    </row>
    <row r="313" spans="1:18" x14ac:dyDescent="0.25">
      <c r="A313" s="299"/>
      <c r="B313" s="103"/>
      <c r="C313" s="49"/>
      <c r="D313" s="49"/>
      <c r="E313" s="49"/>
      <c r="F313" s="112"/>
      <c r="G313" s="113"/>
      <c r="H313" s="39"/>
      <c r="I313" s="114"/>
      <c r="J313" s="154"/>
      <c r="K313" s="49"/>
      <c r="L313" s="49"/>
      <c r="M313" s="49"/>
      <c r="N313" s="49"/>
      <c r="O313" s="49"/>
      <c r="P313" s="49"/>
      <c r="Q313" s="49"/>
      <c r="R313" s="49"/>
    </row>
    <row r="314" spans="1:18" x14ac:dyDescent="0.25">
      <c r="A314" s="299"/>
      <c r="B314" s="103"/>
      <c r="C314" s="49"/>
      <c r="D314" s="49"/>
      <c r="E314" s="49"/>
      <c r="F314" s="112"/>
      <c r="G314" s="113"/>
      <c r="H314" s="39"/>
      <c r="I314" s="114"/>
      <c r="J314" s="154"/>
      <c r="K314" s="49"/>
      <c r="L314" s="49"/>
      <c r="M314" s="49"/>
      <c r="N314" s="49"/>
      <c r="O314" s="49"/>
      <c r="P314" s="49"/>
      <c r="Q314" s="49"/>
      <c r="R314" s="49"/>
    </row>
    <row r="315" spans="1:18" x14ac:dyDescent="0.25">
      <c r="A315" s="299"/>
      <c r="B315" s="103"/>
      <c r="C315" s="49"/>
      <c r="D315" s="49"/>
      <c r="E315" s="49"/>
      <c r="F315" s="112"/>
      <c r="G315" s="113"/>
      <c r="H315" s="39"/>
      <c r="I315" s="114"/>
      <c r="J315" s="154"/>
      <c r="K315" s="49"/>
      <c r="L315" s="49"/>
      <c r="M315" s="49"/>
      <c r="N315" s="49"/>
      <c r="O315" s="49"/>
      <c r="P315" s="49"/>
      <c r="Q315" s="49"/>
      <c r="R315" s="49"/>
    </row>
    <row r="316" spans="1:18" x14ac:dyDescent="0.25">
      <c r="A316" s="299"/>
      <c r="B316" s="103"/>
      <c r="C316" s="49"/>
      <c r="D316" s="49"/>
      <c r="E316" s="49"/>
      <c r="F316" s="112"/>
      <c r="G316" s="113"/>
      <c r="H316" s="39"/>
      <c r="I316" s="114"/>
      <c r="J316" s="154"/>
      <c r="K316" s="49"/>
      <c r="L316" s="49"/>
      <c r="M316" s="49"/>
      <c r="N316" s="49"/>
      <c r="O316" s="49"/>
      <c r="P316" s="49"/>
      <c r="Q316" s="49"/>
      <c r="R316" s="49"/>
    </row>
    <row r="317" spans="1:18" x14ac:dyDescent="0.25">
      <c r="A317" s="299"/>
      <c r="B317" s="103"/>
      <c r="C317" s="49"/>
      <c r="D317" s="49"/>
      <c r="E317" s="49"/>
      <c r="F317" s="112"/>
      <c r="G317" s="113"/>
      <c r="H317" s="39"/>
      <c r="I317" s="114"/>
      <c r="J317" s="154"/>
      <c r="K317" s="49"/>
      <c r="L317" s="49"/>
      <c r="M317" s="49"/>
      <c r="N317" s="49"/>
      <c r="O317" s="49"/>
      <c r="P317" s="49"/>
      <c r="Q317" s="49"/>
      <c r="R317" s="49"/>
    </row>
    <row r="318" spans="1:18" x14ac:dyDescent="0.25">
      <c r="A318" s="299"/>
      <c r="B318" s="103"/>
      <c r="C318" s="49"/>
      <c r="D318" s="49"/>
      <c r="E318" s="49"/>
      <c r="F318" s="112"/>
      <c r="G318" s="113"/>
      <c r="H318" s="39"/>
      <c r="I318" s="154"/>
      <c r="J318" s="154"/>
      <c r="K318" s="49"/>
      <c r="L318" s="49"/>
      <c r="M318" s="49"/>
      <c r="N318" s="49"/>
      <c r="O318" s="49"/>
      <c r="P318" s="49"/>
      <c r="Q318" s="49"/>
      <c r="R318" s="49"/>
    </row>
    <row r="319" spans="1:18" x14ac:dyDescent="0.25">
      <c r="A319" s="49"/>
      <c r="B319" s="103"/>
      <c r="C319" s="101"/>
      <c r="D319" s="49"/>
      <c r="E319" s="49"/>
      <c r="F319" s="154"/>
      <c r="G319" s="113"/>
      <c r="H319" s="39"/>
      <c r="I319" s="114"/>
      <c r="J319" s="154"/>
      <c r="K319" s="49"/>
      <c r="L319" s="49"/>
      <c r="M319" s="49"/>
      <c r="N319" s="49"/>
      <c r="O319" s="49"/>
      <c r="P319" s="49"/>
      <c r="Q319" s="49"/>
      <c r="R319" s="49"/>
    </row>
    <row r="320" spans="1:18" x14ac:dyDescent="0.25">
      <c r="A320" s="49"/>
      <c r="B320" s="103"/>
      <c r="C320" s="49"/>
      <c r="D320" s="49"/>
      <c r="E320" s="49"/>
      <c r="F320" s="154"/>
      <c r="G320" s="113"/>
      <c r="H320" s="39"/>
      <c r="I320" s="114"/>
      <c r="J320" s="154"/>
      <c r="K320" s="49"/>
      <c r="L320" s="49"/>
      <c r="M320" s="49"/>
      <c r="N320" s="49"/>
      <c r="O320" s="49"/>
      <c r="P320" s="49"/>
      <c r="Q320" s="49"/>
      <c r="R320" s="49"/>
    </row>
    <row r="321" spans="1:18" x14ac:dyDescent="0.25">
      <c r="A321" s="49"/>
      <c r="B321" s="103"/>
      <c r="C321" s="49"/>
      <c r="D321" s="49"/>
      <c r="E321" s="49"/>
      <c r="F321" s="154"/>
      <c r="G321" s="113"/>
      <c r="H321" s="39"/>
      <c r="I321" s="114"/>
      <c r="J321" s="154"/>
      <c r="K321" s="49"/>
      <c r="L321" s="49"/>
      <c r="M321" s="49"/>
      <c r="N321" s="49"/>
      <c r="O321" s="49"/>
      <c r="P321" s="49"/>
      <c r="Q321" s="49"/>
      <c r="R321" s="49"/>
    </row>
    <row r="322" spans="1:18" x14ac:dyDescent="0.25">
      <c r="A322" s="150"/>
      <c r="B322" s="151"/>
      <c r="C322" s="49"/>
      <c r="D322" s="49"/>
      <c r="E322" s="49"/>
      <c r="F322" s="112"/>
      <c r="G322" s="113"/>
      <c r="H322" s="39"/>
      <c r="I322" s="114"/>
      <c r="J322" s="154"/>
      <c r="K322" s="49"/>
      <c r="L322" s="49"/>
      <c r="M322" s="49"/>
      <c r="N322" s="49"/>
      <c r="O322" s="49"/>
      <c r="P322" s="49"/>
      <c r="Q322" s="49"/>
      <c r="R322" s="49"/>
    </row>
    <row r="323" spans="1:18" x14ac:dyDescent="0.25">
      <c r="A323" s="150"/>
      <c r="B323" s="151"/>
      <c r="C323" s="49"/>
      <c r="D323" s="49"/>
      <c r="E323" s="49"/>
      <c r="F323" s="112"/>
      <c r="G323" s="113"/>
      <c r="H323" s="39"/>
      <c r="I323" s="114"/>
      <c r="J323" s="154"/>
      <c r="K323" s="49"/>
      <c r="L323" s="49"/>
      <c r="M323" s="49"/>
      <c r="N323" s="49"/>
      <c r="O323" s="49"/>
      <c r="P323" s="49"/>
      <c r="Q323" s="49"/>
      <c r="R323" s="49"/>
    </row>
    <row r="324" spans="1:18" x14ac:dyDescent="0.25">
      <c r="A324" s="150"/>
      <c r="B324" s="151"/>
      <c r="C324" s="49"/>
      <c r="D324" s="49"/>
      <c r="E324" s="49"/>
      <c r="F324" s="112"/>
      <c r="G324" s="113"/>
      <c r="H324" s="39"/>
      <c r="I324" s="114"/>
      <c r="J324" s="49"/>
      <c r="K324" s="49"/>
      <c r="L324" s="319"/>
      <c r="N324" s="49"/>
      <c r="O324" s="49"/>
      <c r="P324" s="49"/>
      <c r="Q324" s="49"/>
      <c r="R324" s="49"/>
    </row>
    <row r="325" spans="1:18" x14ac:dyDescent="0.25">
      <c r="A325" s="150"/>
      <c r="B325" s="151"/>
      <c r="C325" s="49"/>
      <c r="D325" s="49"/>
      <c r="E325" s="49"/>
      <c r="F325" s="112"/>
      <c r="G325" s="113"/>
      <c r="H325" s="39"/>
      <c r="I325" s="114"/>
      <c r="J325" s="154"/>
      <c r="K325" s="49"/>
      <c r="L325" s="49"/>
      <c r="M325" s="49"/>
      <c r="N325" s="49"/>
      <c r="O325" s="49"/>
      <c r="P325" s="49"/>
      <c r="Q325" s="49"/>
      <c r="R325" s="49"/>
    </row>
    <row r="326" spans="1:18" x14ac:dyDescent="0.25">
      <c r="A326" s="299"/>
      <c r="B326" s="103"/>
      <c r="C326" s="49"/>
      <c r="D326" s="49"/>
      <c r="E326" s="49"/>
      <c r="F326" s="112"/>
      <c r="G326" s="113"/>
      <c r="H326" s="39"/>
      <c r="I326" s="303"/>
      <c r="J326" s="154"/>
      <c r="K326" s="49"/>
      <c r="L326" s="49"/>
      <c r="M326" s="49"/>
      <c r="N326" s="49"/>
      <c r="O326" s="49"/>
      <c r="P326" s="49"/>
      <c r="Q326" s="49"/>
      <c r="R326" s="49"/>
    </row>
    <row r="327" spans="1:18" x14ac:dyDescent="0.25">
      <c r="A327" s="150"/>
      <c r="B327" s="151"/>
      <c r="C327" s="49"/>
      <c r="D327" s="49"/>
      <c r="E327" s="49"/>
      <c r="F327" s="112"/>
      <c r="G327" s="113"/>
      <c r="H327" s="39"/>
      <c r="I327" s="114"/>
      <c r="J327" s="154"/>
      <c r="K327" s="49"/>
      <c r="L327" s="49"/>
      <c r="M327" s="49"/>
      <c r="N327" s="49"/>
      <c r="O327" s="49"/>
      <c r="P327" s="49"/>
      <c r="Q327" s="49"/>
      <c r="R327" s="49"/>
    </row>
    <row r="328" spans="1:18" x14ac:dyDescent="0.25">
      <c r="A328" s="49"/>
      <c r="B328" s="103"/>
      <c r="C328" s="49"/>
      <c r="D328" s="49"/>
      <c r="E328" s="49"/>
      <c r="F328" s="112"/>
      <c r="G328" s="113"/>
      <c r="H328" s="39"/>
      <c r="I328" s="114"/>
      <c r="J328" s="154"/>
      <c r="K328" s="49"/>
      <c r="L328" s="49"/>
      <c r="M328" s="49"/>
      <c r="N328" s="49"/>
      <c r="O328" s="49"/>
      <c r="P328" s="49"/>
      <c r="Q328" s="49"/>
      <c r="R328" s="49"/>
    </row>
    <row r="329" spans="1:18" x14ac:dyDescent="0.25">
      <c r="A329" s="49"/>
      <c r="B329" s="103"/>
      <c r="C329" s="49"/>
      <c r="D329" s="49"/>
      <c r="E329" s="49"/>
      <c r="F329" s="112"/>
      <c r="G329" s="113"/>
      <c r="H329" s="39"/>
      <c r="I329" s="114"/>
      <c r="J329" s="154"/>
      <c r="K329" s="49"/>
      <c r="L329" s="49"/>
      <c r="M329" s="49"/>
      <c r="N329" s="49"/>
      <c r="O329" s="49"/>
      <c r="P329" s="49"/>
      <c r="Q329" s="49"/>
      <c r="R329" s="49"/>
    </row>
    <row r="330" spans="1:18" x14ac:dyDescent="0.25">
      <c r="A330" s="49"/>
      <c r="B330" s="103"/>
      <c r="C330" s="49"/>
      <c r="D330" s="49"/>
      <c r="E330" s="49"/>
      <c r="F330" s="154"/>
      <c r="G330" s="113"/>
      <c r="H330" s="39"/>
      <c r="I330" s="114"/>
      <c r="J330" s="154"/>
      <c r="K330" s="49"/>
      <c r="L330" s="49"/>
      <c r="M330" s="49"/>
      <c r="N330" s="49"/>
      <c r="O330" s="49"/>
      <c r="P330" s="49"/>
      <c r="Q330" s="49"/>
      <c r="R330" s="49"/>
    </row>
    <row r="331" spans="1:18" x14ac:dyDescent="0.25">
      <c r="A331" s="49"/>
      <c r="B331" s="103"/>
      <c r="C331" s="49"/>
      <c r="D331" s="49"/>
      <c r="E331" s="49"/>
      <c r="F331" s="154"/>
      <c r="G331" s="113"/>
      <c r="H331" s="39"/>
      <c r="I331" s="114"/>
      <c r="J331" s="154"/>
      <c r="K331" s="49"/>
      <c r="L331" s="49"/>
      <c r="M331" s="49"/>
      <c r="N331" s="49"/>
      <c r="O331" s="49"/>
      <c r="P331" s="49"/>
      <c r="Q331" s="49"/>
      <c r="R331" s="49"/>
    </row>
    <row r="332" spans="1:18" x14ac:dyDescent="0.25">
      <c r="A332" s="49"/>
      <c r="B332" s="103"/>
      <c r="C332" s="49"/>
      <c r="D332" s="49"/>
      <c r="E332" s="49"/>
      <c r="F332" s="112"/>
      <c r="G332" s="113"/>
      <c r="H332" s="39"/>
      <c r="I332" s="114"/>
      <c r="J332" s="154"/>
      <c r="K332" s="49"/>
      <c r="L332" s="49"/>
      <c r="M332" s="49"/>
      <c r="N332" s="49"/>
      <c r="O332" s="49"/>
      <c r="P332" s="49"/>
      <c r="Q332" s="49"/>
      <c r="R332" s="49"/>
    </row>
    <row r="333" spans="1:18" x14ac:dyDescent="0.25">
      <c r="A333" s="49"/>
      <c r="B333" s="103"/>
      <c r="C333" s="49"/>
      <c r="D333" s="49"/>
      <c r="E333" s="49"/>
      <c r="F333" s="112"/>
      <c r="G333" s="113"/>
      <c r="H333" s="39"/>
      <c r="I333" s="114"/>
      <c r="J333" s="154"/>
      <c r="K333" s="49"/>
      <c r="L333" s="49"/>
      <c r="M333" s="49"/>
      <c r="N333" s="49"/>
      <c r="O333" s="49"/>
      <c r="P333" s="49"/>
      <c r="Q333" s="49"/>
      <c r="R333" s="49"/>
    </row>
    <row r="334" spans="1:18" x14ac:dyDescent="0.25">
      <c r="A334" s="49"/>
      <c r="B334" s="103"/>
      <c r="C334" s="49"/>
      <c r="D334" s="49"/>
      <c r="E334" s="49"/>
      <c r="F334" s="112"/>
      <c r="G334" s="113"/>
      <c r="H334" s="39"/>
      <c r="I334" s="114"/>
      <c r="J334" s="154"/>
      <c r="K334" s="49"/>
      <c r="L334" s="49"/>
      <c r="M334" s="49"/>
      <c r="N334" s="49"/>
      <c r="O334" s="49"/>
      <c r="P334" s="49"/>
      <c r="Q334" s="49"/>
      <c r="R334" s="49"/>
    </row>
    <row r="335" spans="1:18" x14ac:dyDescent="0.25">
      <c r="A335" s="49"/>
      <c r="B335" s="103"/>
      <c r="C335" s="49"/>
      <c r="D335" s="49"/>
      <c r="E335" s="49"/>
      <c r="F335" s="112"/>
      <c r="G335" s="113"/>
      <c r="H335" s="39"/>
      <c r="I335" s="114"/>
      <c r="J335" s="154"/>
      <c r="K335" s="49"/>
      <c r="L335" s="49"/>
      <c r="M335" s="49"/>
      <c r="N335" s="49"/>
      <c r="O335" s="49"/>
      <c r="P335" s="49"/>
      <c r="Q335" s="49"/>
      <c r="R335" s="49"/>
    </row>
    <row r="336" spans="1:18" x14ac:dyDescent="0.25">
      <c r="A336" s="49"/>
      <c r="B336" s="103"/>
      <c r="C336" s="49"/>
      <c r="D336" s="49"/>
      <c r="E336" s="49"/>
      <c r="F336" s="112"/>
      <c r="G336" s="113"/>
      <c r="H336" s="39"/>
      <c r="I336" s="114"/>
      <c r="J336" s="298"/>
      <c r="K336" s="49"/>
      <c r="L336" s="49"/>
      <c r="M336" s="49"/>
      <c r="N336" s="49"/>
      <c r="O336" s="49"/>
      <c r="P336" s="49"/>
      <c r="Q336" s="49"/>
      <c r="R336" s="49"/>
    </row>
    <row r="337" spans="1:18" x14ac:dyDescent="0.25">
      <c r="A337" s="49"/>
      <c r="B337" s="103"/>
      <c r="C337" s="49"/>
      <c r="D337" s="49"/>
      <c r="E337" s="49"/>
      <c r="F337" s="112"/>
      <c r="G337" s="113"/>
      <c r="H337" s="39"/>
      <c r="I337" s="114"/>
      <c r="J337" s="154"/>
      <c r="K337" s="49"/>
      <c r="L337" s="49"/>
      <c r="M337" s="49"/>
      <c r="N337" s="49"/>
      <c r="O337" s="49"/>
      <c r="P337" s="49"/>
      <c r="Q337" s="49"/>
      <c r="R337" s="49"/>
    </row>
    <row r="338" spans="1:18" x14ac:dyDescent="0.25">
      <c r="A338" s="49"/>
      <c r="B338" s="103"/>
      <c r="C338" s="49"/>
      <c r="D338" s="49"/>
      <c r="E338" s="49"/>
      <c r="F338" s="112"/>
      <c r="G338" s="113"/>
      <c r="H338" s="39"/>
      <c r="I338" s="114"/>
      <c r="J338" s="298"/>
      <c r="K338" s="49"/>
      <c r="L338" s="49"/>
      <c r="M338" s="49"/>
      <c r="N338" s="49"/>
      <c r="O338" s="49"/>
      <c r="P338" s="49"/>
      <c r="Q338" s="49"/>
      <c r="R338" s="49"/>
    </row>
    <row r="339" spans="1:18" x14ac:dyDescent="0.25">
      <c r="A339" s="49"/>
      <c r="B339" s="103"/>
      <c r="C339" s="49"/>
      <c r="D339" s="49"/>
      <c r="E339" s="49"/>
      <c r="F339" s="154"/>
      <c r="G339" s="113"/>
      <c r="H339" s="39"/>
      <c r="I339" s="114"/>
      <c r="J339" s="154"/>
      <c r="K339" s="49"/>
      <c r="L339" s="49"/>
      <c r="M339" s="49"/>
      <c r="N339" s="49"/>
      <c r="O339" s="49"/>
      <c r="P339" s="49"/>
      <c r="Q339" s="49"/>
      <c r="R339" s="49"/>
    </row>
    <row r="340" spans="1:18" x14ac:dyDescent="0.25">
      <c r="A340" s="49"/>
      <c r="B340" s="103"/>
      <c r="C340" s="49"/>
      <c r="D340" s="49"/>
      <c r="E340" s="49"/>
      <c r="F340" s="154"/>
      <c r="G340" s="113"/>
      <c r="H340" s="39"/>
      <c r="I340" s="114"/>
      <c r="J340" s="154"/>
      <c r="K340" s="49"/>
      <c r="L340" s="49"/>
      <c r="M340" s="49"/>
      <c r="N340" s="49"/>
      <c r="O340" s="49"/>
      <c r="P340" s="49"/>
      <c r="Q340" s="49"/>
      <c r="R340" s="49"/>
    </row>
    <row r="341" spans="1:18" x14ac:dyDescent="0.25">
      <c r="A341" s="49"/>
      <c r="B341" s="103"/>
      <c r="C341" s="49"/>
      <c r="D341" s="49"/>
      <c r="E341" s="49"/>
      <c r="F341" s="112"/>
      <c r="G341" s="113"/>
      <c r="H341" s="39"/>
      <c r="I341" s="114"/>
      <c r="J341" s="154"/>
      <c r="K341" s="49"/>
      <c r="L341" s="49"/>
      <c r="M341" s="49"/>
      <c r="N341" s="49"/>
      <c r="O341" s="49"/>
      <c r="P341" s="49"/>
      <c r="Q341" s="49"/>
      <c r="R341" s="49"/>
    </row>
    <row r="342" spans="1:18" x14ac:dyDescent="0.25">
      <c r="A342" s="49"/>
      <c r="B342" s="103"/>
      <c r="C342" s="49"/>
      <c r="D342" s="49"/>
      <c r="E342" s="49"/>
      <c r="F342" s="154"/>
      <c r="G342" s="113"/>
      <c r="H342" s="39"/>
      <c r="I342" s="114"/>
      <c r="J342" s="154"/>
      <c r="K342" s="49"/>
      <c r="L342" s="49"/>
      <c r="M342" s="49"/>
      <c r="N342" s="49"/>
      <c r="O342" s="49"/>
      <c r="P342" s="49"/>
      <c r="Q342" s="49"/>
      <c r="R342" s="49"/>
    </row>
    <row r="343" spans="1:18" x14ac:dyDescent="0.25">
      <c r="A343" s="49"/>
      <c r="B343" s="103"/>
      <c r="C343" s="49"/>
      <c r="D343" s="49"/>
      <c r="E343" s="49"/>
      <c r="F343" s="154"/>
      <c r="G343" s="113"/>
      <c r="H343" s="39"/>
      <c r="I343" s="114"/>
      <c r="J343" s="154"/>
      <c r="K343" s="49"/>
      <c r="L343" s="49"/>
      <c r="M343" s="49"/>
      <c r="N343" s="49"/>
      <c r="O343" s="49"/>
      <c r="P343" s="49"/>
      <c r="Q343" s="49"/>
      <c r="R343" s="49"/>
    </row>
    <row r="344" spans="1:18" x14ac:dyDescent="0.25">
      <c r="A344" s="49"/>
      <c r="B344" s="103"/>
      <c r="C344" s="49"/>
      <c r="D344" s="49"/>
      <c r="E344" s="49"/>
      <c r="F344" s="154"/>
      <c r="G344" s="113"/>
      <c r="H344" s="39"/>
      <c r="I344" s="114"/>
      <c r="J344" s="154"/>
      <c r="K344" s="49"/>
      <c r="L344" s="49"/>
      <c r="M344" s="49"/>
      <c r="N344" s="49"/>
      <c r="O344" s="49"/>
      <c r="P344" s="49"/>
      <c r="Q344" s="49"/>
      <c r="R344" s="49"/>
    </row>
    <row r="345" spans="1:18" x14ac:dyDescent="0.25">
      <c r="A345" s="49"/>
      <c r="B345" s="103"/>
      <c r="C345" s="49"/>
      <c r="D345" s="49"/>
      <c r="E345" s="49"/>
      <c r="F345" s="154"/>
      <c r="G345" s="113"/>
      <c r="H345" s="39"/>
      <c r="I345" s="114"/>
      <c r="J345" s="154"/>
      <c r="K345" s="49"/>
      <c r="L345" s="49"/>
      <c r="M345" s="49"/>
      <c r="N345" s="49"/>
      <c r="O345" s="49"/>
      <c r="P345" s="49"/>
      <c r="Q345" s="49"/>
      <c r="R345" s="49"/>
    </row>
    <row r="346" spans="1:18" x14ac:dyDescent="0.25">
      <c r="A346" s="49"/>
      <c r="B346" s="103"/>
      <c r="C346" s="49"/>
      <c r="D346" s="49"/>
      <c r="E346" s="49"/>
      <c r="F346" s="154"/>
      <c r="G346" s="113"/>
      <c r="H346" s="39"/>
      <c r="I346" s="114"/>
      <c r="J346" s="154"/>
      <c r="K346" s="49"/>
      <c r="L346" s="49"/>
      <c r="M346" s="49"/>
      <c r="N346" s="49"/>
      <c r="O346" s="49"/>
      <c r="P346" s="49"/>
      <c r="Q346" s="49"/>
      <c r="R346" s="49"/>
    </row>
    <row r="347" spans="1:18" x14ac:dyDescent="0.25">
      <c r="A347" s="49"/>
      <c r="B347" s="103"/>
      <c r="C347" s="49"/>
      <c r="D347" s="49"/>
      <c r="E347" s="49"/>
      <c r="F347" s="154"/>
      <c r="G347" s="113"/>
      <c r="H347" s="39"/>
      <c r="I347" s="114"/>
      <c r="J347" s="154"/>
      <c r="K347" s="49"/>
      <c r="L347" s="49"/>
      <c r="M347" s="49"/>
      <c r="N347" s="49"/>
      <c r="O347" s="49"/>
      <c r="P347" s="49"/>
      <c r="Q347" s="49"/>
      <c r="R347" s="49"/>
    </row>
    <row r="348" spans="1:18" x14ac:dyDescent="0.25">
      <c r="A348" s="49"/>
      <c r="B348" s="103"/>
      <c r="C348" s="49"/>
      <c r="D348" s="49"/>
      <c r="E348" s="49"/>
      <c r="F348" s="154"/>
      <c r="G348" s="113"/>
      <c r="H348" s="39"/>
      <c r="I348" s="39"/>
      <c r="J348" s="154"/>
      <c r="K348" s="49"/>
      <c r="L348" s="49"/>
      <c r="M348" s="49"/>
      <c r="N348" s="49"/>
      <c r="O348" s="49"/>
      <c r="P348" s="49"/>
      <c r="Q348" s="49"/>
      <c r="R348" s="49"/>
    </row>
    <row r="349" spans="1:18" x14ac:dyDescent="0.25">
      <c r="A349" s="320"/>
      <c r="B349" s="151"/>
      <c r="C349" s="49"/>
      <c r="D349" s="49"/>
      <c r="E349" s="49"/>
      <c r="F349" s="112"/>
      <c r="G349" s="113"/>
      <c r="H349" s="39"/>
      <c r="I349" s="114"/>
      <c r="J349" s="154"/>
      <c r="K349" s="49"/>
      <c r="L349" s="49"/>
      <c r="M349" s="49"/>
      <c r="N349" s="49"/>
      <c r="O349" s="49"/>
      <c r="P349" s="49"/>
      <c r="Q349" s="49"/>
      <c r="R349" s="49"/>
    </row>
    <row r="350" spans="1:18" x14ac:dyDescent="0.25">
      <c r="A350" s="320"/>
      <c r="B350" s="151"/>
      <c r="C350" s="49"/>
      <c r="D350" s="49"/>
      <c r="E350" s="49"/>
      <c r="F350" s="112"/>
      <c r="G350" s="113"/>
      <c r="H350" s="39"/>
      <c r="I350" s="114"/>
      <c r="J350" s="154"/>
      <c r="K350" s="49"/>
      <c r="L350" s="49"/>
      <c r="M350" s="49"/>
      <c r="N350" s="49"/>
      <c r="O350" s="49"/>
      <c r="P350" s="49"/>
      <c r="Q350" s="49"/>
      <c r="R350" s="49"/>
    </row>
    <row r="351" spans="1:18" x14ac:dyDescent="0.25">
      <c r="A351" s="320"/>
      <c r="B351" s="151"/>
      <c r="C351" s="49"/>
      <c r="D351" s="49"/>
      <c r="E351" s="49"/>
      <c r="F351" s="112"/>
      <c r="G351" s="113"/>
      <c r="H351" s="39"/>
      <c r="I351" s="114"/>
      <c r="J351" s="154"/>
      <c r="K351" s="49"/>
      <c r="L351" s="49"/>
      <c r="M351" s="49"/>
      <c r="N351" s="49"/>
      <c r="O351" s="49"/>
      <c r="P351" s="49"/>
      <c r="Q351" s="49"/>
      <c r="R351" s="49"/>
    </row>
    <row r="352" spans="1:18" x14ac:dyDescent="0.25">
      <c r="A352" s="320"/>
      <c r="B352" s="151"/>
      <c r="C352" s="49"/>
      <c r="D352" s="49"/>
      <c r="E352" s="49"/>
      <c r="F352" s="112"/>
      <c r="G352" s="113"/>
      <c r="H352" s="39"/>
      <c r="I352" s="114"/>
      <c r="J352" s="154"/>
      <c r="K352" s="49"/>
      <c r="L352" s="49"/>
      <c r="M352" s="49"/>
      <c r="N352" s="49"/>
      <c r="O352" s="49"/>
      <c r="P352" s="49"/>
      <c r="Q352" s="49"/>
      <c r="R352" s="49"/>
    </row>
    <row r="353" spans="1:18" x14ac:dyDescent="0.25">
      <c r="A353" s="320"/>
      <c r="B353" s="151"/>
      <c r="C353" s="49"/>
      <c r="D353" s="49"/>
      <c r="E353" s="49"/>
      <c r="F353" s="112"/>
      <c r="G353" s="113"/>
      <c r="H353" s="39"/>
      <c r="I353" s="114"/>
      <c r="J353" s="154"/>
      <c r="K353" s="49"/>
      <c r="L353" s="49"/>
      <c r="M353" s="49"/>
      <c r="N353" s="49"/>
      <c r="O353" s="49"/>
      <c r="P353" s="49"/>
      <c r="Q353" s="49"/>
      <c r="R353" s="49"/>
    </row>
    <row r="354" spans="1:18" x14ac:dyDescent="0.25">
      <c r="A354" s="320"/>
      <c r="B354" s="151"/>
      <c r="C354" s="49"/>
      <c r="D354" s="49"/>
      <c r="E354" s="49"/>
      <c r="F354" s="112"/>
      <c r="G354" s="113"/>
      <c r="H354" s="39"/>
      <c r="I354" s="114"/>
      <c r="J354" s="154"/>
      <c r="K354" s="49"/>
      <c r="L354" s="49"/>
      <c r="M354" s="49"/>
      <c r="N354" s="49"/>
      <c r="O354" s="49"/>
      <c r="P354" s="49"/>
      <c r="Q354" s="49"/>
      <c r="R354" s="49"/>
    </row>
    <row r="355" spans="1:18" x14ac:dyDescent="0.25">
      <c r="A355" s="320"/>
      <c r="B355" s="151"/>
      <c r="C355" s="49"/>
      <c r="D355" s="49"/>
      <c r="E355" s="49"/>
      <c r="F355" s="112"/>
      <c r="G355" s="113"/>
      <c r="H355" s="39"/>
      <c r="I355" s="114"/>
      <c r="J355" s="154"/>
      <c r="K355" s="49"/>
      <c r="L355" s="49"/>
      <c r="M355" s="49"/>
      <c r="N355" s="49"/>
      <c r="O355" s="49"/>
      <c r="P355" s="49"/>
      <c r="Q355" s="49"/>
      <c r="R355" s="49"/>
    </row>
    <row r="356" spans="1:18" x14ac:dyDescent="0.25">
      <c r="A356" s="320"/>
      <c r="B356" s="151"/>
      <c r="C356" s="49"/>
      <c r="D356" s="49"/>
      <c r="E356" s="49"/>
      <c r="F356" s="112"/>
      <c r="G356" s="113"/>
      <c r="H356" s="39"/>
      <c r="I356" s="114"/>
      <c r="J356" s="298"/>
      <c r="K356" s="49"/>
      <c r="L356" s="49"/>
      <c r="M356" s="49"/>
      <c r="N356" s="49"/>
      <c r="O356" s="49"/>
      <c r="P356" s="49"/>
      <c r="Q356" s="49"/>
      <c r="R356" s="49"/>
    </row>
    <row r="357" spans="1:18" x14ac:dyDescent="0.25">
      <c r="A357" s="320"/>
      <c r="B357" s="151"/>
      <c r="C357" s="49"/>
      <c r="D357" s="49"/>
      <c r="E357" s="49"/>
      <c r="F357" s="112"/>
      <c r="G357" s="113"/>
      <c r="H357" s="39"/>
      <c r="I357" s="114"/>
      <c r="J357" s="154"/>
      <c r="K357" s="49"/>
      <c r="L357" s="49"/>
      <c r="M357" s="49"/>
      <c r="N357" s="49"/>
      <c r="O357" s="49"/>
      <c r="P357" s="49"/>
      <c r="Q357" s="49"/>
      <c r="R357" s="49"/>
    </row>
    <row r="358" spans="1:18" x14ac:dyDescent="0.25">
      <c r="A358" s="320"/>
      <c r="B358" s="151"/>
      <c r="C358" s="49"/>
      <c r="D358" s="49"/>
      <c r="E358" s="49"/>
      <c r="F358" s="112"/>
      <c r="G358" s="113"/>
      <c r="H358" s="39"/>
      <c r="I358" s="114"/>
      <c r="J358" s="154"/>
      <c r="K358" s="49"/>
      <c r="L358" s="49"/>
      <c r="M358" s="49"/>
      <c r="N358" s="49"/>
      <c r="O358" s="49"/>
      <c r="P358" s="49"/>
      <c r="Q358" s="49"/>
      <c r="R358" s="49"/>
    </row>
    <row r="359" spans="1:18" x14ac:dyDescent="0.25">
      <c r="A359" s="49"/>
      <c r="B359" s="103"/>
      <c r="C359" s="49"/>
      <c r="D359" s="74"/>
      <c r="E359" s="49"/>
      <c r="F359" s="112"/>
      <c r="G359" s="113"/>
      <c r="H359" s="39"/>
      <c r="I359" s="114"/>
      <c r="J359" s="154"/>
      <c r="K359" s="49"/>
      <c r="L359" s="49"/>
      <c r="M359" s="49"/>
      <c r="N359" s="49"/>
      <c r="O359" s="49"/>
      <c r="P359" s="49"/>
      <c r="Q359" s="49"/>
      <c r="R359" s="49"/>
    </row>
    <row r="360" spans="1:18" x14ac:dyDescent="0.25">
      <c r="A360" s="49"/>
      <c r="B360" s="103"/>
      <c r="C360" s="49"/>
      <c r="D360" s="49"/>
      <c r="E360" s="49"/>
      <c r="F360" s="112"/>
      <c r="G360" s="113"/>
      <c r="H360" s="39"/>
      <c r="I360" s="114"/>
      <c r="J360" s="154"/>
      <c r="K360" s="49"/>
      <c r="L360" s="49"/>
      <c r="M360" s="49"/>
      <c r="N360" s="49"/>
      <c r="O360" s="49"/>
      <c r="P360" s="49"/>
      <c r="Q360" s="49"/>
      <c r="R360" s="49"/>
    </row>
    <row r="361" spans="1:18" x14ac:dyDescent="0.25">
      <c r="A361" s="49"/>
      <c r="B361" s="103"/>
      <c r="C361" s="49"/>
      <c r="D361" s="74"/>
      <c r="E361" s="49"/>
      <c r="F361" s="112"/>
      <c r="G361" s="113"/>
      <c r="H361" s="39"/>
      <c r="I361" s="114"/>
      <c r="J361" s="154"/>
      <c r="K361" s="49"/>
      <c r="L361" s="49"/>
      <c r="M361" s="49"/>
      <c r="N361" s="49"/>
      <c r="O361" s="49"/>
      <c r="P361" s="49"/>
      <c r="Q361" s="49"/>
      <c r="R361" s="49"/>
    </row>
    <row r="362" spans="1:18" x14ac:dyDescent="0.25">
      <c r="A362" s="49"/>
      <c r="B362" s="103"/>
      <c r="C362" s="49"/>
      <c r="D362" s="49"/>
      <c r="E362" s="49"/>
      <c r="F362" s="49"/>
      <c r="G362" s="49"/>
      <c r="H362" s="39"/>
      <c r="I362" s="49"/>
      <c r="J362" s="49"/>
      <c r="K362" s="49"/>
      <c r="L362" s="49"/>
      <c r="M362" s="49"/>
      <c r="N362" s="49"/>
      <c r="O362" s="49"/>
      <c r="P362" s="49"/>
      <c r="Q362" s="49"/>
      <c r="R362" s="49"/>
    </row>
    <row r="363" spans="1:18" x14ac:dyDescent="0.25">
      <c r="A363" s="49"/>
      <c r="B363" s="103"/>
      <c r="C363" s="49"/>
      <c r="D363" s="74"/>
      <c r="E363" s="49"/>
      <c r="F363" s="112"/>
      <c r="G363" s="113"/>
      <c r="H363" s="39"/>
      <c r="I363" s="114"/>
      <c r="J363" s="154"/>
      <c r="K363" s="49"/>
      <c r="L363" s="49"/>
      <c r="M363" s="49"/>
      <c r="N363" s="49"/>
      <c r="O363" s="49"/>
      <c r="P363" s="49"/>
      <c r="Q363" s="49"/>
      <c r="R363" s="49"/>
    </row>
    <row r="364" spans="1:18" x14ac:dyDescent="0.25">
      <c r="A364" s="49"/>
      <c r="B364" s="103"/>
      <c r="C364" s="49"/>
      <c r="D364" s="49"/>
      <c r="E364" s="49"/>
      <c r="F364" s="112"/>
      <c r="G364" s="113"/>
      <c r="H364" s="39"/>
      <c r="I364" s="114"/>
      <c r="J364" s="154"/>
      <c r="K364" s="49"/>
      <c r="L364" s="49"/>
      <c r="M364" s="49"/>
      <c r="N364" s="49"/>
      <c r="O364" s="49"/>
      <c r="P364" s="49"/>
      <c r="Q364" s="49"/>
      <c r="R364" s="49"/>
    </row>
    <row r="365" spans="1:18" x14ac:dyDescent="0.25">
      <c r="A365" s="49"/>
      <c r="B365" s="103"/>
      <c r="C365" s="49"/>
      <c r="D365" s="49"/>
      <c r="E365" s="49"/>
      <c r="F365" s="112"/>
      <c r="G365" s="113"/>
      <c r="H365" s="39"/>
      <c r="I365" s="114"/>
      <c r="J365" s="154"/>
      <c r="K365" s="49"/>
      <c r="L365" s="49"/>
      <c r="M365" s="49"/>
      <c r="N365" s="49"/>
      <c r="O365" s="49"/>
      <c r="P365" s="49"/>
      <c r="Q365" s="49"/>
      <c r="R365" s="49"/>
    </row>
    <row r="366" spans="1:18" x14ac:dyDescent="0.25">
      <c r="A366" s="49"/>
      <c r="B366" s="103"/>
      <c r="C366" s="49"/>
      <c r="D366" s="74"/>
      <c r="E366" s="49"/>
      <c r="F366" s="112"/>
      <c r="G366" s="113"/>
      <c r="H366" s="39"/>
      <c r="I366" s="114"/>
      <c r="J366" s="154"/>
      <c r="K366" s="49"/>
      <c r="L366" s="49"/>
      <c r="M366" s="49"/>
      <c r="N366" s="49"/>
      <c r="O366" s="49"/>
      <c r="P366" s="49"/>
      <c r="Q366" s="49"/>
      <c r="R366" s="49"/>
    </row>
    <row r="367" spans="1:18" x14ac:dyDescent="0.25">
      <c r="A367" s="49"/>
      <c r="B367" s="103"/>
      <c r="C367" s="299"/>
      <c r="D367" s="49"/>
      <c r="E367" s="49"/>
      <c r="F367" s="154"/>
      <c r="G367" s="113"/>
      <c r="H367" s="39"/>
      <c r="I367" s="114"/>
      <c r="J367" s="298"/>
      <c r="K367" s="299"/>
      <c r="L367" s="49"/>
      <c r="M367" s="49"/>
      <c r="N367" s="49"/>
      <c r="O367" s="49"/>
      <c r="P367" s="49"/>
      <c r="Q367" s="49"/>
      <c r="R367" s="49"/>
    </row>
    <row r="368" spans="1:18" x14ac:dyDescent="0.25">
      <c r="A368" s="49"/>
      <c r="B368" s="103"/>
      <c r="C368" s="49"/>
      <c r="D368" s="49"/>
      <c r="E368" s="49"/>
      <c r="F368" s="112"/>
      <c r="G368" s="113"/>
      <c r="H368" s="39"/>
      <c r="I368" s="114"/>
      <c r="J368" s="154"/>
      <c r="K368" s="49"/>
      <c r="L368" s="49"/>
      <c r="M368" s="49"/>
      <c r="N368" s="49"/>
      <c r="O368" s="49"/>
      <c r="P368" s="49"/>
      <c r="Q368" s="49"/>
      <c r="R368" s="49"/>
    </row>
    <row r="369" spans="1:18" x14ac:dyDescent="0.25">
      <c r="A369" s="49"/>
      <c r="B369" s="103"/>
      <c r="C369" s="49"/>
      <c r="D369" s="49"/>
      <c r="E369" s="49"/>
      <c r="F369" s="112"/>
      <c r="G369" s="113"/>
      <c r="H369" s="39"/>
      <c r="I369" s="114"/>
      <c r="J369" s="154"/>
      <c r="K369" s="49"/>
      <c r="L369" s="49"/>
      <c r="M369" s="49"/>
      <c r="N369" s="49"/>
      <c r="O369" s="49"/>
      <c r="P369" s="49"/>
      <c r="Q369" s="49"/>
      <c r="R369" s="49"/>
    </row>
    <row r="370" spans="1:18" x14ac:dyDescent="0.25">
      <c r="A370" s="49"/>
      <c r="B370" s="103"/>
      <c r="C370" s="299"/>
      <c r="D370" s="49"/>
      <c r="E370" s="49"/>
      <c r="F370" s="154"/>
      <c r="G370" s="113"/>
      <c r="H370" s="39"/>
      <c r="I370" s="114"/>
      <c r="J370" s="298"/>
      <c r="K370" s="299"/>
      <c r="L370" s="49"/>
      <c r="M370" s="49"/>
      <c r="N370" s="49"/>
      <c r="O370" s="49"/>
      <c r="P370" s="49"/>
      <c r="Q370" s="49"/>
      <c r="R370" s="49"/>
    </row>
    <row r="371" spans="1:18" x14ac:dyDescent="0.25">
      <c r="A371" s="49"/>
      <c r="B371" s="103"/>
      <c r="C371" s="49"/>
      <c r="D371" s="49"/>
      <c r="E371" s="49"/>
      <c r="F371" s="112"/>
      <c r="G371" s="113"/>
      <c r="H371" s="39"/>
      <c r="I371" s="114"/>
      <c r="J371" s="154"/>
      <c r="K371" s="49"/>
      <c r="L371" s="49"/>
      <c r="M371" s="49"/>
      <c r="N371" s="49"/>
      <c r="O371" s="49"/>
      <c r="P371" s="49"/>
      <c r="Q371" s="49"/>
      <c r="R371" s="49"/>
    </row>
    <row r="372" spans="1:18" x14ac:dyDescent="0.25">
      <c r="A372" s="101"/>
      <c r="B372" s="166"/>
      <c r="C372" s="101"/>
      <c r="D372" s="101"/>
      <c r="E372" s="49"/>
      <c r="F372" s="168"/>
      <c r="G372" s="169"/>
      <c r="H372" s="170"/>
      <c r="I372" s="114"/>
      <c r="J372" s="154"/>
      <c r="K372" s="49"/>
      <c r="L372" s="49"/>
      <c r="M372" s="49"/>
      <c r="N372" s="49"/>
      <c r="O372" s="49"/>
      <c r="P372" s="49"/>
      <c r="Q372" s="49"/>
      <c r="R372" s="49"/>
    </row>
    <row r="373" spans="1:18" x14ac:dyDescent="0.25">
      <c r="A373" s="101"/>
      <c r="B373" s="166"/>
      <c r="C373" s="101"/>
      <c r="D373" s="101"/>
      <c r="E373" s="49"/>
      <c r="F373" s="168"/>
      <c r="G373" s="169"/>
      <c r="H373" s="170"/>
      <c r="I373" s="114"/>
      <c r="J373" s="154"/>
      <c r="K373" s="49"/>
      <c r="L373" s="49"/>
      <c r="M373" s="49"/>
      <c r="N373" s="49"/>
      <c r="O373" s="49"/>
      <c r="P373" s="49"/>
      <c r="Q373" s="49"/>
      <c r="R373" s="49"/>
    </row>
    <row r="374" spans="1:18" x14ac:dyDescent="0.25">
      <c r="A374" s="101"/>
      <c r="B374" s="166"/>
      <c r="C374" s="101"/>
      <c r="D374" s="101"/>
      <c r="E374" s="49"/>
      <c r="F374" s="168"/>
      <c r="G374" s="169"/>
      <c r="H374" s="170"/>
      <c r="I374" s="114"/>
      <c r="J374" s="154"/>
      <c r="K374" s="49"/>
      <c r="L374" s="49"/>
      <c r="M374" s="49"/>
      <c r="N374" s="49"/>
      <c r="O374" s="49"/>
      <c r="P374" s="49"/>
      <c r="Q374" s="49"/>
      <c r="R374" s="49"/>
    </row>
    <row r="375" spans="1:18" x14ac:dyDescent="0.25">
      <c r="A375" s="101"/>
      <c r="B375" s="166"/>
      <c r="C375" s="101"/>
      <c r="D375" s="101"/>
      <c r="E375" s="49"/>
      <c r="F375" s="168"/>
      <c r="G375" s="169"/>
      <c r="H375" s="170"/>
      <c r="I375" s="114"/>
      <c r="J375" s="154"/>
      <c r="K375" s="49"/>
      <c r="L375" s="49"/>
      <c r="M375" s="49"/>
      <c r="N375" s="49"/>
      <c r="O375" s="49"/>
      <c r="P375" s="49"/>
      <c r="Q375" s="49"/>
      <c r="R375" s="49"/>
    </row>
    <row r="376" spans="1:18" x14ac:dyDescent="0.25">
      <c r="A376" s="101"/>
      <c r="B376" s="166"/>
      <c r="C376" s="101"/>
      <c r="D376" s="101"/>
      <c r="E376" s="49"/>
      <c r="F376" s="168"/>
      <c r="G376" s="169"/>
      <c r="H376" s="170"/>
      <c r="I376" s="114"/>
      <c r="J376" s="154"/>
      <c r="K376" s="49"/>
      <c r="L376" s="49"/>
      <c r="M376" s="49"/>
      <c r="N376" s="49"/>
      <c r="O376" s="49"/>
      <c r="P376" s="49"/>
      <c r="Q376" s="49"/>
      <c r="R376" s="49"/>
    </row>
    <row r="377" spans="1:18" x14ac:dyDescent="0.25">
      <c r="A377" s="101"/>
      <c r="B377" s="166"/>
      <c r="C377" s="101"/>
      <c r="D377" s="101"/>
      <c r="E377" s="49"/>
      <c r="F377" s="168"/>
      <c r="G377" s="169"/>
      <c r="H377" s="170"/>
      <c r="I377" s="114"/>
      <c r="J377" s="154"/>
      <c r="K377" s="49"/>
      <c r="L377" s="49"/>
      <c r="M377" s="49"/>
      <c r="N377" s="49"/>
      <c r="O377" s="49"/>
      <c r="P377" s="49"/>
      <c r="Q377" s="49"/>
      <c r="R377" s="49"/>
    </row>
    <row r="378" spans="1:18" x14ac:dyDescent="0.25">
      <c r="A378" s="101"/>
      <c r="B378" s="166"/>
      <c r="C378" s="101"/>
      <c r="D378" s="101"/>
      <c r="E378" s="101"/>
      <c r="F378" s="168"/>
      <c r="G378" s="169"/>
      <c r="H378" s="170"/>
      <c r="I378" s="114"/>
      <c r="J378" s="154"/>
      <c r="K378" s="49"/>
      <c r="L378" s="49"/>
      <c r="M378" s="49"/>
      <c r="N378" s="49"/>
      <c r="O378" s="49"/>
      <c r="P378" s="49"/>
      <c r="Q378" s="49"/>
      <c r="R378" s="49"/>
    </row>
    <row r="379" spans="1:18" x14ac:dyDescent="0.25">
      <c r="A379" s="101"/>
      <c r="B379" s="166"/>
      <c r="C379" s="101"/>
      <c r="D379" s="101"/>
      <c r="E379" s="101"/>
      <c r="F379" s="168"/>
      <c r="G379" s="169"/>
      <c r="H379" s="170"/>
      <c r="I379" s="114"/>
      <c r="J379" s="154"/>
      <c r="K379" s="49"/>
      <c r="L379" s="49"/>
      <c r="M379" s="49"/>
      <c r="N379" s="49"/>
      <c r="O379" s="49"/>
      <c r="P379" s="49"/>
      <c r="Q379" s="49"/>
      <c r="R379" s="49"/>
    </row>
    <row r="380" spans="1:18" x14ac:dyDescent="0.25">
      <c r="A380" s="101"/>
      <c r="B380" s="166"/>
      <c r="C380" s="101"/>
      <c r="D380" s="101"/>
      <c r="E380" s="101"/>
      <c r="F380" s="168"/>
      <c r="G380" s="169"/>
      <c r="H380" s="170"/>
      <c r="I380" s="114"/>
      <c r="J380" s="154"/>
      <c r="K380" s="49"/>
      <c r="L380" s="49"/>
      <c r="M380" s="49"/>
      <c r="N380" s="49"/>
      <c r="O380" s="49"/>
      <c r="P380" s="49"/>
      <c r="Q380" s="49"/>
      <c r="R380" s="49"/>
    </row>
    <row r="381" spans="1:18" x14ac:dyDescent="0.25">
      <c r="A381" s="101"/>
      <c r="B381" s="166"/>
      <c r="C381" s="101"/>
      <c r="D381" s="101"/>
      <c r="E381" s="321"/>
      <c r="F381" s="168"/>
      <c r="G381" s="169"/>
      <c r="H381" s="170"/>
      <c r="I381" s="114"/>
      <c r="J381" s="154"/>
      <c r="K381" s="49"/>
      <c r="L381" s="49"/>
      <c r="M381" s="49"/>
      <c r="N381" s="49"/>
      <c r="O381" s="49"/>
      <c r="P381" s="49"/>
      <c r="Q381" s="49"/>
      <c r="R381" s="49"/>
    </row>
    <row r="382" spans="1:18" x14ac:dyDescent="0.25">
      <c r="A382" s="101"/>
      <c r="B382" s="166"/>
      <c r="C382" s="101"/>
      <c r="D382" s="101"/>
      <c r="E382" s="321"/>
      <c r="F382" s="168"/>
      <c r="G382" s="169"/>
      <c r="H382" s="170"/>
      <c r="I382" s="114"/>
      <c r="J382" s="154"/>
      <c r="K382" s="49"/>
      <c r="L382" s="49"/>
      <c r="M382" s="49"/>
      <c r="N382" s="49"/>
      <c r="O382" s="49"/>
      <c r="P382" s="49"/>
      <c r="Q382" s="49"/>
      <c r="R382" s="49"/>
    </row>
    <row r="383" spans="1:18" x14ac:dyDescent="0.25">
      <c r="A383" s="101"/>
      <c r="B383" s="166"/>
      <c r="C383" s="101"/>
      <c r="D383" s="101"/>
      <c r="E383" s="322"/>
      <c r="F383" s="168"/>
      <c r="G383" s="169"/>
      <c r="H383" s="170"/>
      <c r="I383" s="114"/>
      <c r="J383" s="154"/>
      <c r="K383" s="49"/>
      <c r="L383" s="49"/>
      <c r="M383" s="49"/>
      <c r="N383" s="49"/>
      <c r="O383" s="49"/>
      <c r="P383" s="49"/>
      <c r="Q383" s="49"/>
      <c r="R383" s="49"/>
    </row>
    <row r="384" spans="1:18" x14ac:dyDescent="0.25">
      <c r="A384" s="101"/>
      <c r="B384" s="166"/>
      <c r="C384" s="101"/>
      <c r="D384" s="101"/>
      <c r="E384" s="321"/>
      <c r="F384" s="168"/>
      <c r="G384" s="169"/>
      <c r="H384" s="170"/>
      <c r="I384" s="114"/>
      <c r="J384" s="154"/>
      <c r="K384" s="49"/>
      <c r="L384" s="49"/>
      <c r="M384" s="49"/>
      <c r="N384" s="49"/>
      <c r="O384" s="49"/>
      <c r="P384" s="49"/>
      <c r="Q384" s="49"/>
      <c r="R384" s="49"/>
    </row>
    <row r="385" spans="1:18" x14ac:dyDescent="0.25">
      <c r="A385" s="49"/>
      <c r="B385" s="103"/>
      <c r="C385" s="49"/>
      <c r="D385" s="49"/>
      <c r="E385" s="323"/>
      <c r="F385" s="112"/>
      <c r="G385" s="113"/>
      <c r="H385" s="39"/>
      <c r="I385" s="114"/>
      <c r="J385" s="154"/>
      <c r="K385" s="49"/>
      <c r="L385" s="49"/>
      <c r="M385" s="49"/>
      <c r="N385" s="49"/>
      <c r="O385" s="49"/>
      <c r="P385" s="49"/>
      <c r="Q385" s="49"/>
      <c r="R385" s="49"/>
    </row>
    <row r="386" spans="1:18" x14ac:dyDescent="0.25">
      <c r="A386" s="49"/>
      <c r="B386" s="103"/>
      <c r="C386" s="49"/>
      <c r="D386" s="49"/>
      <c r="E386" s="321"/>
      <c r="F386" s="112"/>
      <c r="G386" s="113"/>
      <c r="H386" s="39"/>
      <c r="I386" s="114"/>
      <c r="J386" s="154"/>
      <c r="K386" s="49"/>
      <c r="L386" s="299"/>
      <c r="M386" s="49"/>
      <c r="N386" s="49"/>
      <c r="O386" s="49"/>
      <c r="P386" s="49"/>
      <c r="Q386" s="49"/>
      <c r="R386" s="49"/>
    </row>
    <row r="387" spans="1:18" x14ac:dyDescent="0.25">
      <c r="A387" s="49"/>
      <c r="B387" s="103"/>
      <c r="C387" s="49"/>
      <c r="D387" s="49"/>
      <c r="E387" s="321"/>
      <c r="F387" s="112"/>
      <c r="G387" s="113"/>
      <c r="H387" s="39"/>
      <c r="I387" s="114"/>
      <c r="J387" s="154"/>
      <c r="K387" s="49"/>
      <c r="L387" s="49"/>
      <c r="M387" s="49"/>
      <c r="N387" s="49"/>
      <c r="O387" s="49"/>
      <c r="P387" s="49"/>
      <c r="Q387" s="49"/>
      <c r="R387" s="49"/>
    </row>
    <row r="388" spans="1:18" x14ac:dyDescent="0.25">
      <c r="A388" s="49"/>
      <c r="B388" s="103"/>
      <c r="C388" s="49"/>
      <c r="D388" s="49"/>
      <c r="E388" s="322"/>
      <c r="F388" s="112"/>
      <c r="G388" s="113"/>
      <c r="H388" s="39"/>
      <c r="I388" s="114"/>
      <c r="J388" s="154"/>
      <c r="K388" s="49"/>
      <c r="L388" s="49"/>
      <c r="M388" s="49"/>
      <c r="N388" s="49"/>
      <c r="O388" s="49"/>
      <c r="P388" s="49"/>
      <c r="Q388" s="49"/>
      <c r="R388" s="49"/>
    </row>
    <row r="389" spans="1:18" x14ac:dyDescent="0.25">
      <c r="A389" s="49"/>
      <c r="B389" s="103"/>
      <c r="C389" s="49"/>
      <c r="D389" s="49"/>
      <c r="E389" s="321"/>
      <c r="F389" s="154"/>
      <c r="G389" s="113"/>
      <c r="H389" s="39"/>
      <c r="I389" s="114"/>
      <c r="J389" s="154"/>
      <c r="K389" s="49"/>
      <c r="L389" s="49"/>
      <c r="M389" s="49"/>
      <c r="N389" s="49"/>
      <c r="O389" s="49"/>
      <c r="P389" s="49"/>
      <c r="Q389" s="49"/>
      <c r="R389" s="49"/>
    </row>
    <row r="390" spans="1:18" x14ac:dyDescent="0.25">
      <c r="A390" s="49"/>
      <c r="B390" s="103"/>
      <c r="C390" s="49"/>
      <c r="D390" s="49"/>
      <c r="E390" s="321"/>
      <c r="F390" s="154"/>
      <c r="G390" s="113"/>
      <c r="H390" s="39"/>
      <c r="I390" s="114"/>
      <c r="J390" s="154"/>
      <c r="K390" s="49"/>
      <c r="L390" s="49"/>
      <c r="M390" s="49"/>
      <c r="N390" s="49"/>
      <c r="O390" s="49"/>
      <c r="P390" s="49"/>
      <c r="Q390" s="49"/>
      <c r="R390" s="49"/>
    </row>
    <row r="391" spans="1:18" x14ac:dyDescent="0.25">
      <c r="A391" s="49"/>
      <c r="B391" s="103"/>
      <c r="C391" s="49"/>
      <c r="D391" s="49"/>
      <c r="E391" s="49"/>
      <c r="F391" s="154"/>
      <c r="G391" s="113"/>
      <c r="H391" s="39"/>
      <c r="I391" s="114"/>
      <c r="J391" s="154"/>
      <c r="K391" s="49"/>
      <c r="L391" s="49"/>
      <c r="M391" s="49"/>
      <c r="N391" s="49"/>
      <c r="O391" s="49"/>
      <c r="P391" s="49"/>
      <c r="Q391" s="49"/>
      <c r="R391" s="49"/>
    </row>
    <row r="392" spans="1:18" x14ac:dyDescent="0.25">
      <c r="A392" s="49"/>
      <c r="B392" s="103"/>
      <c r="C392" s="101"/>
      <c r="D392" s="49"/>
      <c r="E392" s="49"/>
      <c r="F392" s="154"/>
      <c r="G392" s="113"/>
      <c r="H392" s="39"/>
      <c r="I392" s="114"/>
      <c r="J392" s="154"/>
      <c r="K392" s="49"/>
      <c r="L392" s="49"/>
      <c r="M392" s="49"/>
      <c r="N392" s="49"/>
      <c r="O392" s="49"/>
      <c r="P392" s="49"/>
      <c r="Q392" s="49"/>
      <c r="R392" s="49"/>
    </row>
    <row r="393" spans="1:18" x14ac:dyDescent="0.25">
      <c r="A393" s="49"/>
      <c r="B393" s="103"/>
      <c r="C393" s="49"/>
      <c r="D393" s="49"/>
      <c r="E393" s="49"/>
      <c r="F393" s="112"/>
      <c r="G393" s="113"/>
      <c r="H393" s="39"/>
      <c r="I393" s="114"/>
      <c r="J393" s="154"/>
      <c r="K393" s="49"/>
      <c r="L393" s="49"/>
      <c r="M393" s="49"/>
      <c r="N393" s="49"/>
      <c r="O393" s="49"/>
      <c r="P393" s="49"/>
      <c r="Q393" s="49"/>
      <c r="R393" s="49"/>
    </row>
    <row r="394" spans="1:18" x14ac:dyDescent="0.25">
      <c r="A394" s="49"/>
      <c r="B394" s="103"/>
      <c r="C394" s="101"/>
      <c r="D394" s="49"/>
      <c r="F394" s="154"/>
      <c r="G394" s="113"/>
      <c r="H394" s="39"/>
      <c r="I394" s="114"/>
      <c r="J394" s="154"/>
      <c r="K394" s="49"/>
      <c r="L394" s="49"/>
      <c r="M394" s="49"/>
      <c r="N394" s="49"/>
      <c r="O394" s="49"/>
      <c r="P394" s="49"/>
      <c r="Q394" s="49"/>
      <c r="R394" s="49"/>
    </row>
    <row r="395" spans="1:18" x14ac:dyDescent="0.25">
      <c r="A395" s="49"/>
      <c r="B395" s="103"/>
      <c r="C395" s="49"/>
      <c r="D395" s="49"/>
      <c r="E395" s="49"/>
      <c r="F395" s="154"/>
      <c r="G395" s="113"/>
      <c r="H395" s="39"/>
      <c r="I395" s="114"/>
      <c r="J395" s="154"/>
      <c r="K395" s="49"/>
      <c r="L395" s="49"/>
      <c r="M395" s="49"/>
      <c r="N395" s="49"/>
      <c r="O395" s="49"/>
      <c r="P395" s="49"/>
      <c r="Q395" s="49"/>
      <c r="R395" s="49"/>
    </row>
    <row r="396" spans="1:18" x14ac:dyDescent="0.25">
      <c r="A396" s="49"/>
      <c r="B396" s="103"/>
      <c r="C396" s="101"/>
      <c r="D396" s="49"/>
      <c r="E396" s="49"/>
      <c r="F396" s="154"/>
      <c r="G396" s="113"/>
      <c r="H396" s="39"/>
      <c r="I396" s="114"/>
      <c r="J396" s="154"/>
      <c r="K396" s="49"/>
      <c r="L396" s="49"/>
      <c r="M396" s="49"/>
      <c r="N396" s="49"/>
      <c r="O396" s="49"/>
      <c r="P396" s="49"/>
      <c r="Q396" s="49"/>
      <c r="R396" s="49"/>
    </row>
    <row r="397" spans="1:18" x14ac:dyDescent="0.25">
      <c r="A397" s="49"/>
      <c r="B397" s="103"/>
      <c r="C397" s="101"/>
      <c r="D397" s="49"/>
      <c r="E397" s="49"/>
      <c r="F397" s="154"/>
      <c r="G397" s="113"/>
      <c r="H397" s="39"/>
      <c r="I397" s="114"/>
      <c r="J397" s="154"/>
      <c r="K397" s="299"/>
      <c r="L397" s="49"/>
      <c r="M397" s="49"/>
      <c r="N397" s="49"/>
      <c r="O397" s="49"/>
      <c r="P397" s="49"/>
      <c r="Q397" s="49"/>
      <c r="R397" s="49"/>
    </row>
    <row r="398" spans="1:18" x14ac:dyDescent="0.25">
      <c r="A398" s="49"/>
      <c r="B398" s="103"/>
      <c r="C398" s="101"/>
      <c r="D398" s="49"/>
      <c r="E398" s="49"/>
      <c r="F398" s="154"/>
      <c r="G398" s="113"/>
      <c r="H398" s="39"/>
      <c r="I398" s="114"/>
      <c r="J398" s="154"/>
      <c r="K398" s="49"/>
      <c r="L398" s="49"/>
      <c r="M398" s="49"/>
      <c r="N398" s="49"/>
      <c r="O398" s="49"/>
      <c r="P398" s="49"/>
      <c r="Q398" s="49"/>
      <c r="R398" s="49"/>
    </row>
    <row r="399" spans="1:18" x14ac:dyDescent="0.25">
      <c r="A399" s="49"/>
      <c r="B399" s="103"/>
      <c r="C399" s="49"/>
      <c r="D399" s="49"/>
      <c r="E399" s="49"/>
      <c r="F399" s="154"/>
      <c r="G399" s="113"/>
      <c r="H399" s="39"/>
      <c r="I399" s="114"/>
      <c r="J399" s="154"/>
      <c r="K399" s="49"/>
      <c r="L399" s="49"/>
      <c r="M399" s="49"/>
      <c r="N399" s="49"/>
      <c r="O399" s="49"/>
      <c r="P399" s="49"/>
      <c r="Q399" s="49"/>
      <c r="R399" s="49"/>
    </row>
    <row r="400" spans="1:18" x14ac:dyDescent="0.25">
      <c r="A400" s="49"/>
      <c r="B400" s="103"/>
      <c r="C400" s="49"/>
      <c r="D400" s="49"/>
      <c r="E400" s="49"/>
      <c r="F400" s="154"/>
      <c r="G400" s="113"/>
      <c r="H400" s="39"/>
      <c r="I400" s="114"/>
      <c r="J400" s="154"/>
      <c r="K400" s="49"/>
      <c r="L400" s="49"/>
      <c r="M400" s="49"/>
      <c r="N400" s="49"/>
      <c r="O400" s="49"/>
      <c r="P400" s="49"/>
      <c r="Q400" s="49"/>
      <c r="R400" s="49"/>
    </row>
    <row r="401" spans="1:18" x14ac:dyDescent="0.25">
      <c r="A401" s="49"/>
      <c r="B401" s="103"/>
      <c r="C401" s="49"/>
      <c r="D401" s="49"/>
      <c r="E401" s="49"/>
      <c r="F401" s="154"/>
      <c r="G401" s="113"/>
      <c r="H401" s="39"/>
      <c r="I401" s="114"/>
      <c r="J401" s="154"/>
      <c r="K401" s="49"/>
      <c r="L401" s="49"/>
      <c r="M401" s="49"/>
      <c r="N401" s="49"/>
      <c r="O401" s="49"/>
      <c r="P401" s="49"/>
      <c r="Q401" s="49"/>
      <c r="R401" s="49"/>
    </row>
    <row r="402" spans="1:18" x14ac:dyDescent="0.25">
      <c r="A402" s="49"/>
      <c r="B402" s="103"/>
      <c r="C402" s="49"/>
      <c r="D402" s="49"/>
      <c r="E402" s="49"/>
      <c r="F402" s="154"/>
      <c r="G402" s="113"/>
      <c r="H402" s="39"/>
      <c r="I402" s="114"/>
      <c r="J402" s="154"/>
      <c r="K402" s="49"/>
      <c r="L402" s="49"/>
      <c r="M402" s="49"/>
      <c r="N402" s="49"/>
      <c r="O402" s="49"/>
      <c r="P402" s="49"/>
      <c r="Q402" s="49"/>
      <c r="R402" s="49"/>
    </row>
    <row r="403" spans="1:18" x14ac:dyDescent="0.25">
      <c r="A403" s="49"/>
      <c r="B403" s="103"/>
      <c r="C403" s="49"/>
      <c r="D403" s="49"/>
      <c r="E403" s="49"/>
      <c r="F403" s="154"/>
      <c r="G403" s="113"/>
      <c r="H403" s="39"/>
      <c r="I403" s="114"/>
      <c r="J403" s="154"/>
      <c r="K403" s="49"/>
      <c r="L403" s="49"/>
      <c r="M403" s="49"/>
      <c r="N403" s="49"/>
      <c r="O403" s="49"/>
      <c r="P403" s="49"/>
      <c r="Q403" s="49"/>
      <c r="R403" s="49"/>
    </row>
    <row r="404" spans="1:18" x14ac:dyDescent="0.25">
      <c r="A404" s="49"/>
      <c r="B404" s="103"/>
      <c r="C404" s="49"/>
      <c r="D404" s="49"/>
      <c r="E404" s="49"/>
      <c r="F404" s="154"/>
      <c r="G404" s="113"/>
      <c r="H404" s="39"/>
      <c r="I404" s="114"/>
      <c r="J404" s="154"/>
      <c r="K404" s="49"/>
      <c r="L404" s="49"/>
      <c r="M404" s="49"/>
      <c r="N404" s="49"/>
      <c r="O404" s="49"/>
      <c r="P404" s="49"/>
      <c r="Q404" s="49"/>
      <c r="R404" s="49"/>
    </row>
    <row r="405" spans="1:18" x14ac:dyDescent="0.25">
      <c r="A405" s="49"/>
      <c r="B405" s="103"/>
      <c r="C405" s="49"/>
      <c r="D405" s="49"/>
      <c r="E405" s="49"/>
      <c r="F405" s="154"/>
      <c r="G405" s="113"/>
      <c r="H405" s="39"/>
      <c r="I405" s="114"/>
      <c r="J405" s="154"/>
      <c r="K405" s="49"/>
      <c r="L405" s="49"/>
      <c r="M405" s="49"/>
      <c r="N405" s="49"/>
      <c r="O405" s="49"/>
      <c r="P405" s="49"/>
      <c r="Q405" s="49"/>
      <c r="R405" s="49"/>
    </row>
    <row r="406" spans="1:18" x14ac:dyDescent="0.25">
      <c r="A406" s="49"/>
      <c r="B406" s="103"/>
      <c r="C406" s="49"/>
      <c r="D406" s="49"/>
      <c r="E406" s="49"/>
      <c r="F406" s="154"/>
      <c r="G406" s="113"/>
      <c r="H406" s="39"/>
      <c r="I406" s="114"/>
      <c r="J406" s="154"/>
      <c r="K406" s="49"/>
      <c r="L406" s="49"/>
      <c r="M406" s="49"/>
      <c r="N406" s="49"/>
      <c r="O406" s="49"/>
      <c r="P406" s="49"/>
      <c r="Q406" s="49"/>
      <c r="R406" s="49"/>
    </row>
    <row r="407" spans="1:18" x14ac:dyDescent="0.25">
      <c r="A407" s="49"/>
      <c r="B407" s="103"/>
      <c r="C407" s="49"/>
      <c r="D407" s="49"/>
      <c r="E407" s="49"/>
      <c r="F407" s="154"/>
      <c r="G407" s="113"/>
      <c r="H407" s="39"/>
      <c r="I407" s="114"/>
      <c r="J407" s="154"/>
      <c r="K407" s="49"/>
      <c r="L407" s="49"/>
      <c r="M407" s="49"/>
      <c r="N407" s="49"/>
      <c r="O407" s="49"/>
      <c r="P407" s="49"/>
      <c r="Q407" s="49"/>
      <c r="R407" s="49"/>
    </row>
    <row r="408" spans="1:18" x14ac:dyDescent="0.25">
      <c r="A408" s="49"/>
      <c r="B408" s="103"/>
      <c r="C408" s="49"/>
      <c r="D408" s="49"/>
      <c r="E408" s="49"/>
      <c r="F408" s="154"/>
      <c r="G408" s="113"/>
      <c r="H408" s="39"/>
      <c r="I408" s="114"/>
      <c r="J408" s="154"/>
      <c r="K408" s="49"/>
      <c r="L408" s="49"/>
      <c r="M408" s="49"/>
      <c r="N408" s="49"/>
      <c r="O408" s="49"/>
      <c r="P408" s="49"/>
      <c r="Q408" s="49"/>
      <c r="R408" s="49"/>
    </row>
    <row r="409" spans="1:18" x14ac:dyDescent="0.25">
      <c r="A409" s="49"/>
      <c r="B409" s="103"/>
      <c r="C409" s="49"/>
      <c r="D409" s="49"/>
      <c r="E409" s="49"/>
      <c r="F409" s="154"/>
      <c r="G409" s="113"/>
      <c r="H409" s="39"/>
      <c r="I409" s="114"/>
      <c r="J409" s="154"/>
      <c r="K409" s="49"/>
      <c r="L409" s="49"/>
      <c r="M409" s="49"/>
      <c r="N409" s="49"/>
      <c r="O409" s="49"/>
      <c r="P409" s="49"/>
      <c r="Q409" s="49"/>
      <c r="R409" s="49"/>
    </row>
    <row r="410" spans="1:18" x14ac:dyDescent="0.25">
      <c r="A410" s="49"/>
      <c r="B410" s="103"/>
      <c r="C410" s="49"/>
      <c r="D410" s="49"/>
      <c r="E410" s="49"/>
      <c r="F410" s="154"/>
      <c r="G410" s="113"/>
      <c r="H410" s="39"/>
      <c r="I410" s="114"/>
      <c r="J410" s="154"/>
      <c r="K410" s="49"/>
      <c r="L410" s="49"/>
      <c r="M410" s="49"/>
      <c r="N410" s="49"/>
      <c r="O410" s="49"/>
      <c r="P410" s="49"/>
      <c r="Q410" s="49"/>
      <c r="R410" s="49"/>
    </row>
    <row r="411" spans="1:18" x14ac:dyDescent="0.25">
      <c r="A411" s="49"/>
      <c r="B411" s="103"/>
      <c r="C411" s="49"/>
      <c r="D411" s="49"/>
      <c r="E411" s="49"/>
      <c r="F411" s="154"/>
      <c r="G411" s="113"/>
      <c r="H411" s="39"/>
      <c r="I411" s="114"/>
      <c r="J411" s="154"/>
      <c r="K411" s="49"/>
      <c r="L411" s="49"/>
      <c r="M411" s="49"/>
      <c r="N411" s="49"/>
      <c r="O411" s="49"/>
      <c r="P411" s="49"/>
      <c r="Q411" s="49"/>
      <c r="R411" s="49"/>
    </row>
    <row r="412" spans="1:18" x14ac:dyDescent="0.25">
      <c r="A412" s="49"/>
      <c r="B412" s="103"/>
      <c r="C412" s="49"/>
      <c r="D412" s="49"/>
      <c r="E412" s="49"/>
      <c r="F412" s="154"/>
      <c r="G412" s="113"/>
      <c r="H412" s="39"/>
      <c r="I412" s="114"/>
      <c r="J412" s="154"/>
      <c r="K412" s="49"/>
      <c r="L412" s="49"/>
      <c r="M412" s="49"/>
      <c r="N412" s="49"/>
      <c r="O412" s="49"/>
      <c r="P412" s="49"/>
      <c r="Q412" s="49"/>
      <c r="R412" s="49"/>
    </row>
    <row r="413" spans="1:18" x14ac:dyDescent="0.25">
      <c r="A413" s="49"/>
      <c r="B413" s="103"/>
      <c r="C413" s="49"/>
      <c r="D413" s="49"/>
      <c r="E413" s="49"/>
      <c r="F413" s="154"/>
      <c r="G413" s="113"/>
      <c r="H413" s="39"/>
      <c r="I413" s="114"/>
      <c r="J413" s="154"/>
      <c r="K413" s="49"/>
      <c r="L413" s="49"/>
      <c r="M413" s="49"/>
      <c r="N413" s="49"/>
      <c r="O413" s="49"/>
      <c r="P413" s="49"/>
      <c r="Q413" s="49"/>
      <c r="R413" s="49"/>
    </row>
    <row r="414" spans="1:18" x14ac:dyDescent="0.25">
      <c r="A414" s="49"/>
      <c r="B414" s="103"/>
      <c r="C414" s="49"/>
      <c r="D414" s="49"/>
      <c r="E414" s="49"/>
      <c r="F414" s="154"/>
      <c r="G414" s="113"/>
      <c r="H414" s="39"/>
      <c r="I414" s="114"/>
      <c r="J414" s="154"/>
      <c r="K414" s="49"/>
      <c r="L414" s="49"/>
      <c r="M414" s="49"/>
      <c r="N414" s="49"/>
      <c r="O414" s="49"/>
      <c r="P414" s="49"/>
      <c r="Q414" s="49"/>
      <c r="R414" s="49"/>
    </row>
    <row r="415" spans="1:18" x14ac:dyDescent="0.25">
      <c r="A415" s="49"/>
      <c r="B415" s="103"/>
      <c r="C415" s="49"/>
      <c r="D415" s="49"/>
      <c r="E415" s="49"/>
      <c r="F415" s="154"/>
      <c r="G415" s="113"/>
      <c r="H415" s="39"/>
      <c r="I415" s="114"/>
      <c r="J415" s="154"/>
      <c r="K415" s="49"/>
      <c r="L415" s="49"/>
      <c r="M415" s="49"/>
      <c r="N415" s="49"/>
      <c r="O415" s="49"/>
      <c r="P415" s="49"/>
      <c r="Q415" s="49"/>
      <c r="R415" s="49"/>
    </row>
    <row r="416" spans="1:18" x14ac:dyDescent="0.25">
      <c r="A416" s="49"/>
      <c r="B416" s="103"/>
      <c r="C416" s="49"/>
      <c r="D416" s="49"/>
      <c r="E416" s="49"/>
      <c r="F416" s="154"/>
      <c r="G416" s="113"/>
      <c r="H416" s="39"/>
      <c r="I416" s="114"/>
      <c r="J416" s="154"/>
      <c r="K416" s="49"/>
      <c r="L416" s="49"/>
      <c r="M416" s="49"/>
      <c r="N416" s="49"/>
      <c r="O416" s="49"/>
      <c r="P416" s="49"/>
      <c r="Q416" s="49"/>
      <c r="R416" s="49"/>
    </row>
    <row r="417" spans="1:18" x14ac:dyDescent="0.25">
      <c r="A417" s="49"/>
      <c r="B417" s="103"/>
      <c r="C417" s="49"/>
      <c r="D417" s="49"/>
      <c r="E417" s="49"/>
      <c r="F417" s="154"/>
      <c r="G417" s="113"/>
      <c r="H417" s="39"/>
      <c r="I417" s="114"/>
      <c r="J417" s="154"/>
      <c r="K417" s="49"/>
      <c r="L417" s="49"/>
      <c r="M417" s="49"/>
      <c r="N417" s="49"/>
      <c r="O417" s="49"/>
      <c r="P417" s="49"/>
      <c r="Q417" s="49"/>
      <c r="R417" s="49"/>
    </row>
    <row r="418" spans="1:18" x14ac:dyDescent="0.25">
      <c r="A418" s="49"/>
      <c r="B418" s="103"/>
      <c r="C418" s="49"/>
      <c r="D418" s="49"/>
      <c r="E418" s="49"/>
      <c r="F418" s="154"/>
      <c r="G418" s="113"/>
      <c r="H418" s="39"/>
      <c r="I418" s="114"/>
      <c r="J418" s="303"/>
      <c r="K418" s="49"/>
      <c r="L418" s="49"/>
      <c r="M418" s="49"/>
      <c r="N418" s="49"/>
      <c r="O418" s="49"/>
      <c r="P418" s="49"/>
      <c r="Q418" s="49"/>
      <c r="R418" s="49"/>
    </row>
    <row r="419" spans="1:18" x14ac:dyDescent="0.25">
      <c r="A419" s="49"/>
      <c r="B419" s="103"/>
      <c r="C419" s="49"/>
      <c r="D419" s="49"/>
      <c r="E419" s="49"/>
      <c r="F419" s="154"/>
      <c r="G419" s="113"/>
      <c r="H419" s="39"/>
      <c r="I419" s="114"/>
      <c r="J419" s="154"/>
      <c r="K419" s="49"/>
      <c r="L419" s="49"/>
      <c r="M419" s="49"/>
      <c r="N419" s="49"/>
      <c r="O419" s="49"/>
      <c r="P419" s="49"/>
      <c r="Q419" s="49"/>
      <c r="R419" s="49"/>
    </row>
    <row r="420" spans="1:18" x14ac:dyDescent="0.25">
      <c r="A420" s="49"/>
      <c r="B420" s="103"/>
      <c r="C420" s="49"/>
      <c r="D420" s="49"/>
      <c r="E420" s="49"/>
      <c r="F420" s="154"/>
      <c r="G420" s="113"/>
      <c r="H420" s="39"/>
      <c r="I420" s="114"/>
      <c r="J420" s="154"/>
      <c r="K420" s="49"/>
      <c r="L420" s="49"/>
      <c r="M420" s="49"/>
      <c r="N420" s="49"/>
      <c r="O420" s="49"/>
      <c r="P420" s="49"/>
      <c r="Q420" s="49"/>
      <c r="R420" s="49"/>
    </row>
    <row r="421" spans="1:18" x14ac:dyDescent="0.25">
      <c r="A421" s="49"/>
      <c r="B421" s="103"/>
      <c r="C421" s="49"/>
      <c r="D421" s="49"/>
      <c r="E421" s="49"/>
      <c r="F421" s="154"/>
      <c r="G421" s="113"/>
      <c r="H421" s="39"/>
      <c r="I421" s="114"/>
      <c r="J421" s="154"/>
      <c r="K421" s="49"/>
      <c r="L421" s="49"/>
      <c r="M421" s="49"/>
      <c r="N421" s="49"/>
      <c r="O421" s="49"/>
      <c r="P421" s="49"/>
      <c r="Q421" s="49"/>
      <c r="R421" s="49"/>
    </row>
    <row r="422" spans="1:18" x14ac:dyDescent="0.25">
      <c r="A422" s="49"/>
      <c r="B422" s="103"/>
      <c r="C422" s="49"/>
      <c r="D422" s="49"/>
      <c r="E422" s="49"/>
      <c r="F422" s="154"/>
      <c r="G422" s="113"/>
      <c r="H422" s="39"/>
      <c r="I422" s="114"/>
      <c r="J422" s="154"/>
      <c r="K422" s="49"/>
      <c r="L422" s="49"/>
      <c r="M422" s="49"/>
      <c r="N422" s="49"/>
      <c r="O422" s="49"/>
      <c r="P422" s="49"/>
      <c r="Q422" s="49"/>
      <c r="R422" s="49"/>
    </row>
    <row r="423" spans="1:18" x14ac:dyDescent="0.25">
      <c r="A423" s="49"/>
      <c r="B423" s="103"/>
      <c r="C423" s="49"/>
      <c r="D423" s="49"/>
      <c r="E423" s="49"/>
      <c r="F423" s="154"/>
      <c r="G423" s="113"/>
      <c r="H423" s="39"/>
      <c r="I423" s="114"/>
      <c r="J423" s="154"/>
      <c r="K423" s="49"/>
      <c r="L423" s="49"/>
      <c r="M423" s="49"/>
      <c r="N423" s="49"/>
      <c r="O423" s="49"/>
      <c r="P423" s="49"/>
      <c r="Q423" s="49"/>
      <c r="R423" s="49"/>
    </row>
    <row r="424" spans="1:18" x14ac:dyDescent="0.25">
      <c r="A424" s="49"/>
      <c r="B424" s="103"/>
      <c r="C424" s="49"/>
      <c r="D424" s="49"/>
      <c r="E424" s="49"/>
      <c r="F424" s="154"/>
      <c r="G424" s="113"/>
      <c r="H424" s="39"/>
      <c r="I424" s="114"/>
      <c r="J424" s="303"/>
      <c r="K424" s="299"/>
      <c r="L424" s="49"/>
      <c r="M424" s="49"/>
      <c r="N424" s="49"/>
      <c r="O424" s="49"/>
      <c r="P424" s="49"/>
      <c r="Q424" s="49"/>
      <c r="R424" s="49"/>
    </row>
    <row r="425" spans="1:18" x14ac:dyDescent="0.25">
      <c r="A425" s="49"/>
      <c r="B425" s="103"/>
      <c r="C425" s="49"/>
      <c r="D425" s="49"/>
      <c r="E425" s="49"/>
      <c r="F425" s="154"/>
      <c r="G425" s="113"/>
      <c r="H425" s="39"/>
      <c r="I425" s="114"/>
      <c r="J425" s="154"/>
      <c r="K425" s="49"/>
      <c r="L425" s="49"/>
      <c r="M425" s="49"/>
      <c r="N425" s="49"/>
      <c r="O425" s="49"/>
      <c r="P425" s="49"/>
      <c r="Q425" s="49"/>
      <c r="R425" s="49"/>
    </row>
    <row r="426" spans="1:18" x14ac:dyDescent="0.25">
      <c r="A426" s="49"/>
      <c r="B426" s="103"/>
      <c r="C426" s="49"/>
      <c r="D426" s="49"/>
      <c r="E426" s="324"/>
      <c r="F426" s="154"/>
      <c r="G426" s="113"/>
      <c r="H426" s="39"/>
      <c r="I426" s="114"/>
      <c r="J426" s="303"/>
      <c r="K426" s="49"/>
      <c r="L426" s="49"/>
      <c r="M426" s="49"/>
      <c r="N426" s="49"/>
      <c r="O426" s="49"/>
      <c r="P426" s="49"/>
      <c r="Q426" s="49"/>
      <c r="R426" s="49"/>
    </row>
    <row r="427" spans="1:18" x14ac:dyDescent="0.25">
      <c r="A427" s="49"/>
      <c r="B427" s="103"/>
      <c r="C427" s="49"/>
      <c r="D427" s="49"/>
      <c r="E427" s="49"/>
      <c r="F427" s="154"/>
      <c r="G427" s="113"/>
      <c r="H427" s="39"/>
      <c r="I427" s="114"/>
      <c r="J427" s="154"/>
      <c r="K427" s="49"/>
      <c r="L427" s="49"/>
      <c r="M427" s="49"/>
      <c r="N427" s="49"/>
      <c r="O427" s="49"/>
      <c r="P427" s="49"/>
      <c r="Q427" s="49"/>
      <c r="R427" s="49"/>
    </row>
    <row r="428" spans="1:18" x14ac:dyDescent="0.25">
      <c r="A428" s="49"/>
      <c r="B428" s="103"/>
      <c r="C428" s="49"/>
      <c r="D428" s="49"/>
      <c r="E428" s="49"/>
      <c r="F428" s="154"/>
      <c r="G428" s="113"/>
      <c r="H428" s="39"/>
      <c r="I428" s="114"/>
      <c r="J428" s="154"/>
      <c r="K428" s="49"/>
      <c r="L428" s="49"/>
      <c r="M428" s="49"/>
      <c r="N428" s="49"/>
      <c r="O428" s="49"/>
      <c r="P428" s="49"/>
      <c r="Q428" s="49"/>
      <c r="R428" s="49"/>
    </row>
    <row r="429" spans="1:18" x14ac:dyDescent="0.25">
      <c r="A429" s="49"/>
      <c r="B429" s="103"/>
      <c r="C429" s="101"/>
      <c r="D429" s="49"/>
      <c r="E429" s="49"/>
      <c r="F429" s="154"/>
      <c r="G429" s="113"/>
      <c r="H429" s="39"/>
      <c r="I429" s="114"/>
      <c r="J429" s="154"/>
      <c r="K429" s="49"/>
      <c r="L429" s="49"/>
      <c r="M429" s="49"/>
      <c r="N429" s="49"/>
      <c r="O429" s="49"/>
      <c r="P429" s="49"/>
      <c r="Q429" s="49"/>
      <c r="R429" s="49"/>
    </row>
    <row r="430" spans="1:18" x14ac:dyDescent="0.25">
      <c r="A430" s="49"/>
      <c r="B430" s="103"/>
      <c r="C430" s="101"/>
      <c r="D430" s="49"/>
      <c r="E430" s="49"/>
      <c r="F430" s="154"/>
      <c r="G430" s="113"/>
      <c r="H430" s="39"/>
      <c r="I430" s="114"/>
      <c r="J430" s="154"/>
      <c r="K430" s="49"/>
      <c r="L430" s="49"/>
      <c r="M430" s="49"/>
      <c r="N430" s="49"/>
      <c r="O430" s="49"/>
      <c r="P430" s="49"/>
      <c r="Q430" s="49"/>
      <c r="R430" s="49"/>
    </row>
    <row r="431" spans="1:18" x14ac:dyDescent="0.25">
      <c r="A431" s="49"/>
      <c r="B431" s="103"/>
      <c r="C431" s="101"/>
      <c r="D431" s="49"/>
      <c r="E431" s="49"/>
      <c r="F431" s="154"/>
      <c r="G431" s="113"/>
      <c r="H431" s="39"/>
      <c r="I431" s="114"/>
      <c r="J431" s="154"/>
      <c r="K431" s="49"/>
      <c r="L431" s="49"/>
      <c r="M431" s="49"/>
      <c r="N431" s="49"/>
      <c r="O431" s="49"/>
      <c r="P431" s="49"/>
      <c r="Q431" s="49"/>
      <c r="R431" s="49"/>
    </row>
    <row r="432" spans="1:18" x14ac:dyDescent="0.25">
      <c r="A432" s="325"/>
      <c r="B432" s="308"/>
      <c r="C432" s="101"/>
      <c r="D432" s="49"/>
      <c r="E432" s="49"/>
      <c r="F432" s="154"/>
      <c r="G432" s="113"/>
      <c r="H432" s="39"/>
      <c r="I432" s="114"/>
      <c r="J432" s="154"/>
      <c r="K432" s="49"/>
      <c r="L432" s="49"/>
      <c r="M432" s="49"/>
      <c r="N432" s="49"/>
      <c r="O432" s="49"/>
      <c r="P432" s="49"/>
      <c r="Q432" s="49"/>
      <c r="R432" s="49"/>
    </row>
    <row r="433" spans="1:18" x14ac:dyDescent="0.25">
      <c r="A433" s="325"/>
      <c r="B433" s="308"/>
      <c r="C433" s="101"/>
      <c r="D433" s="49"/>
      <c r="E433" s="49"/>
      <c r="F433" s="154"/>
      <c r="G433" s="113"/>
      <c r="H433" s="39"/>
      <c r="I433" s="114"/>
      <c r="J433" s="154"/>
      <c r="K433" s="49"/>
      <c r="L433" s="49"/>
      <c r="M433" s="49"/>
      <c r="N433" s="49"/>
      <c r="O433" s="49"/>
      <c r="P433" s="49"/>
      <c r="Q433" s="49"/>
      <c r="R433" s="49"/>
    </row>
    <row r="434" spans="1:18" x14ac:dyDescent="0.25">
      <c r="A434" s="49"/>
      <c r="B434" s="103"/>
      <c r="C434" s="299"/>
      <c r="D434" s="74"/>
      <c r="E434" s="49"/>
      <c r="F434" s="112"/>
      <c r="G434" s="113"/>
      <c r="H434" s="39"/>
      <c r="I434" s="114"/>
      <c r="J434" s="154"/>
      <c r="K434" s="49"/>
      <c r="L434" s="49"/>
      <c r="M434" s="49"/>
      <c r="N434" s="49"/>
      <c r="O434" s="49"/>
      <c r="P434" s="49"/>
      <c r="Q434" s="49"/>
      <c r="R434" s="49"/>
    </row>
    <row r="435" spans="1:18" x14ac:dyDescent="0.25">
      <c r="A435" s="49"/>
      <c r="B435" s="103"/>
      <c r="C435" s="299"/>
      <c r="D435" s="74"/>
      <c r="E435" s="49"/>
      <c r="F435" s="112"/>
      <c r="G435" s="113"/>
      <c r="H435" s="39"/>
      <c r="I435" s="114"/>
      <c r="J435" s="154"/>
      <c r="K435" s="49"/>
      <c r="L435" s="49"/>
      <c r="M435" s="49"/>
      <c r="N435" s="49"/>
      <c r="O435" s="49"/>
      <c r="P435" s="49"/>
      <c r="Q435" s="49"/>
      <c r="R435" s="49"/>
    </row>
    <row r="436" spans="1:18" x14ac:dyDescent="0.25">
      <c r="A436" s="49"/>
      <c r="B436" s="103"/>
      <c r="C436" s="299"/>
      <c r="D436" s="74"/>
      <c r="E436" s="49"/>
      <c r="F436" s="112"/>
      <c r="G436" s="113"/>
      <c r="H436" s="39"/>
      <c r="I436" s="114"/>
      <c r="J436" s="154"/>
      <c r="K436" s="49"/>
      <c r="L436" s="49"/>
      <c r="M436" s="49"/>
      <c r="N436" s="49"/>
      <c r="O436" s="49"/>
      <c r="P436" s="49"/>
      <c r="Q436" s="49"/>
      <c r="R436" s="49"/>
    </row>
    <row r="437" spans="1:18" x14ac:dyDescent="0.25">
      <c r="A437" s="101"/>
      <c r="B437" s="166"/>
      <c r="C437" s="101"/>
      <c r="D437" s="101"/>
      <c r="E437" s="49"/>
      <c r="F437" s="168"/>
      <c r="G437" s="169"/>
      <c r="H437" s="170"/>
      <c r="I437" s="114"/>
      <c r="J437" s="154"/>
      <c r="K437" s="49"/>
      <c r="L437" s="49"/>
      <c r="M437" s="49"/>
      <c r="N437" s="49"/>
      <c r="O437" s="49"/>
      <c r="P437" s="49"/>
      <c r="Q437" s="49"/>
      <c r="R437" s="49"/>
    </row>
    <row r="438" spans="1:18" x14ac:dyDescent="0.25">
      <c r="A438" s="49"/>
      <c r="B438" s="103"/>
      <c r="C438" s="299"/>
      <c r="D438" s="74"/>
      <c r="E438" s="321"/>
      <c r="F438" s="112"/>
      <c r="G438" s="113"/>
      <c r="H438" s="39"/>
      <c r="I438" s="303"/>
      <c r="J438" s="154"/>
      <c r="K438" s="49"/>
      <c r="L438" s="49"/>
      <c r="M438" s="49"/>
      <c r="N438" s="49"/>
      <c r="O438" s="49"/>
      <c r="P438" s="49"/>
      <c r="Q438" s="299"/>
      <c r="R438" s="49"/>
    </row>
    <row r="439" spans="1:18" x14ac:dyDescent="0.25">
      <c r="A439" s="49"/>
      <c r="B439" s="103"/>
      <c r="C439" s="299"/>
      <c r="D439" s="74"/>
      <c r="E439" s="321"/>
      <c r="F439" s="112"/>
      <c r="G439" s="113"/>
      <c r="H439" s="39"/>
      <c r="I439" s="154"/>
      <c r="J439" s="154"/>
      <c r="K439" s="49"/>
      <c r="L439" s="49"/>
      <c r="M439" s="49"/>
      <c r="N439" s="49"/>
      <c r="O439" s="49"/>
      <c r="P439" s="49"/>
      <c r="Q439" s="49"/>
      <c r="R439" s="49"/>
    </row>
    <row r="440" spans="1:18" x14ac:dyDescent="0.25">
      <c r="A440" s="49"/>
      <c r="B440" s="103"/>
      <c r="C440" s="299"/>
      <c r="D440" s="74"/>
      <c r="E440" s="49"/>
      <c r="F440" s="112"/>
      <c r="G440" s="113"/>
      <c r="H440" s="39"/>
      <c r="I440" s="154"/>
      <c r="J440" s="154"/>
      <c r="K440" s="49"/>
      <c r="L440" s="49"/>
      <c r="M440" s="49"/>
      <c r="N440" s="49"/>
      <c r="O440" s="49"/>
      <c r="P440" s="49"/>
      <c r="Q440" s="49"/>
      <c r="R440" s="49"/>
    </row>
    <row r="441" spans="1:18" x14ac:dyDescent="0.25">
      <c r="A441" s="49"/>
      <c r="B441" s="103"/>
      <c r="C441" s="299"/>
      <c r="D441" s="74"/>
      <c r="E441" s="49"/>
      <c r="F441" s="112"/>
      <c r="G441" s="113"/>
      <c r="H441" s="39"/>
      <c r="I441" s="154"/>
      <c r="J441" s="154"/>
      <c r="K441" s="49"/>
      <c r="L441" s="49"/>
      <c r="M441" s="49"/>
      <c r="N441" s="49"/>
      <c r="O441" s="49"/>
      <c r="P441" s="49"/>
      <c r="Q441" s="49"/>
      <c r="R441" s="49"/>
    </row>
    <row r="442" spans="1:18" x14ac:dyDescent="0.25">
      <c r="A442" s="49"/>
      <c r="B442" s="103"/>
      <c r="C442" s="49"/>
      <c r="D442" s="49"/>
      <c r="E442" s="49"/>
      <c r="F442" s="112"/>
      <c r="G442" s="113"/>
      <c r="H442" s="39"/>
      <c r="I442" s="114"/>
      <c r="J442" s="154"/>
      <c r="K442" s="49"/>
      <c r="L442" s="49"/>
      <c r="M442" s="49"/>
      <c r="N442" s="49"/>
      <c r="O442" s="49"/>
      <c r="P442" s="49"/>
      <c r="Q442" s="49"/>
      <c r="R442" s="49"/>
    </row>
    <row r="443" spans="1:18" x14ac:dyDescent="0.25">
      <c r="A443" s="49"/>
      <c r="B443" s="103"/>
      <c r="C443" s="299"/>
      <c r="D443" s="74"/>
      <c r="E443" s="101"/>
      <c r="F443" s="112"/>
      <c r="G443" s="113"/>
      <c r="H443" s="39"/>
      <c r="I443" s="114"/>
      <c r="J443" s="154"/>
      <c r="K443" s="49"/>
      <c r="L443" s="49"/>
      <c r="M443" s="49"/>
      <c r="N443" s="49"/>
      <c r="O443" s="49"/>
      <c r="P443" s="49"/>
      <c r="Q443" s="49"/>
      <c r="R443" s="49"/>
    </row>
    <row r="444" spans="1:18" x14ac:dyDescent="0.25">
      <c r="A444" s="49"/>
      <c r="B444" s="103"/>
      <c r="C444" s="299"/>
      <c r="D444" s="74"/>
      <c r="E444" s="49"/>
      <c r="F444" s="112"/>
      <c r="G444" s="113"/>
      <c r="H444" s="39"/>
      <c r="I444" s="114"/>
      <c r="J444" s="154"/>
      <c r="K444" s="49"/>
      <c r="L444" s="49"/>
      <c r="M444" s="49"/>
      <c r="N444" s="49"/>
      <c r="O444" s="49"/>
      <c r="P444" s="49"/>
      <c r="Q444" s="49"/>
      <c r="R444" s="49"/>
    </row>
    <row r="445" spans="1:18" x14ac:dyDescent="0.25">
      <c r="A445" s="49"/>
      <c r="B445" s="103"/>
      <c r="C445" s="49"/>
      <c r="D445" s="49"/>
      <c r="E445" s="49"/>
      <c r="F445" s="112"/>
      <c r="G445" s="113"/>
      <c r="H445" s="39"/>
      <c r="I445" s="114"/>
      <c r="J445" s="154"/>
      <c r="K445" s="49"/>
      <c r="L445" s="49"/>
      <c r="M445" s="49"/>
      <c r="N445" s="49"/>
      <c r="O445" s="49"/>
      <c r="P445" s="49"/>
      <c r="Q445" s="49"/>
      <c r="R445" s="49"/>
    </row>
    <row r="446" spans="1:18" x14ac:dyDescent="0.25">
      <c r="A446" s="49"/>
      <c r="B446" s="103"/>
      <c r="C446" s="49"/>
      <c r="D446" s="49"/>
      <c r="E446" s="49"/>
      <c r="F446" s="112"/>
      <c r="G446" s="113"/>
      <c r="H446" s="39"/>
      <c r="I446" s="114"/>
      <c r="J446" s="154"/>
      <c r="K446" s="49"/>
      <c r="L446" s="49"/>
      <c r="M446" s="49"/>
      <c r="N446" s="49"/>
      <c r="O446" s="49"/>
      <c r="P446" s="49"/>
      <c r="Q446" s="49"/>
      <c r="R446" s="49"/>
    </row>
    <row r="447" spans="1:18" x14ac:dyDescent="0.25">
      <c r="A447" s="49"/>
      <c r="B447" s="103"/>
      <c r="C447" s="49"/>
      <c r="D447" s="49"/>
      <c r="E447" s="49"/>
      <c r="F447" s="112"/>
      <c r="G447" s="113"/>
      <c r="H447" s="39"/>
      <c r="I447" s="114"/>
      <c r="J447" s="154"/>
      <c r="K447" s="49"/>
      <c r="L447" s="49"/>
      <c r="M447" s="49"/>
      <c r="N447" s="49"/>
      <c r="O447" s="49"/>
      <c r="P447" s="49"/>
      <c r="Q447" s="49"/>
      <c r="R447" s="49"/>
    </row>
    <row r="448" spans="1:18" x14ac:dyDescent="0.25">
      <c r="A448" s="49"/>
      <c r="B448" s="103"/>
      <c r="C448" s="49"/>
      <c r="D448" s="74"/>
      <c r="E448" s="49"/>
      <c r="F448" s="112"/>
      <c r="G448" s="113"/>
      <c r="H448" s="39"/>
      <c r="I448" s="114"/>
      <c r="J448" s="154"/>
      <c r="K448" s="49"/>
      <c r="L448" s="49"/>
      <c r="M448" s="49"/>
      <c r="N448" s="49"/>
      <c r="O448" s="49"/>
      <c r="P448" s="49"/>
      <c r="Q448" s="49"/>
      <c r="R448" s="49"/>
    </row>
    <row r="449" spans="1:18" x14ac:dyDescent="0.25">
      <c r="A449" s="49"/>
      <c r="B449" s="103"/>
      <c r="C449" s="49"/>
      <c r="D449" s="74"/>
      <c r="E449" s="49"/>
      <c r="F449" s="112"/>
      <c r="G449" s="113"/>
      <c r="H449" s="39"/>
      <c r="I449" s="114"/>
      <c r="J449" s="154"/>
      <c r="K449" s="49"/>
      <c r="L449" s="49"/>
      <c r="M449" s="49"/>
      <c r="N449" s="49"/>
      <c r="O449" s="49"/>
      <c r="P449" s="49"/>
      <c r="Q449" s="49"/>
      <c r="R449" s="49"/>
    </row>
    <row r="450" spans="1:18" x14ac:dyDescent="0.25">
      <c r="A450" s="49"/>
      <c r="B450" s="103"/>
      <c r="C450" s="49"/>
      <c r="D450" s="74"/>
      <c r="E450" s="49"/>
      <c r="F450" s="112"/>
      <c r="G450" s="113"/>
      <c r="H450" s="39"/>
      <c r="I450" s="114"/>
      <c r="J450" s="154"/>
      <c r="K450" s="49"/>
      <c r="L450" s="49"/>
      <c r="M450" s="49"/>
      <c r="N450" s="49"/>
      <c r="O450" s="49"/>
      <c r="P450" s="49"/>
      <c r="Q450" s="49"/>
      <c r="R450" s="49"/>
    </row>
    <row r="451" spans="1:18" x14ac:dyDescent="0.25">
      <c r="A451" s="49"/>
      <c r="B451" s="103"/>
      <c r="C451" s="49"/>
      <c r="D451" s="74"/>
      <c r="E451" s="49"/>
      <c r="F451" s="112"/>
      <c r="G451" s="113"/>
      <c r="H451" s="39"/>
      <c r="I451" s="114"/>
      <c r="J451" s="154"/>
      <c r="K451" s="49"/>
      <c r="L451" s="49"/>
      <c r="M451" s="49"/>
      <c r="N451" s="49"/>
      <c r="O451" s="49"/>
      <c r="P451" s="49"/>
      <c r="Q451" s="49"/>
      <c r="R451" s="49"/>
    </row>
    <row r="452" spans="1:18" x14ac:dyDescent="0.25">
      <c r="A452" s="101"/>
      <c r="B452" s="166"/>
      <c r="C452" s="101"/>
      <c r="D452" s="101"/>
      <c r="E452" s="49"/>
      <c r="F452" s="168"/>
      <c r="G452" s="169"/>
      <c r="H452" s="170"/>
      <c r="I452" s="114"/>
      <c r="J452" s="154"/>
      <c r="K452" s="49"/>
      <c r="L452" s="49"/>
      <c r="M452" s="49"/>
      <c r="N452" s="49"/>
      <c r="O452" s="49"/>
      <c r="P452" s="49"/>
      <c r="Q452" s="49"/>
      <c r="R452" s="49"/>
    </row>
    <row r="453" spans="1:18" x14ac:dyDescent="0.25">
      <c r="A453" s="49"/>
      <c r="B453" s="103"/>
      <c r="C453" s="49"/>
      <c r="D453" s="49"/>
      <c r="E453" s="49"/>
      <c r="F453" s="112"/>
      <c r="G453" s="113"/>
      <c r="H453" s="39"/>
      <c r="I453" s="114"/>
      <c r="J453" s="154"/>
      <c r="K453" s="49"/>
      <c r="L453" s="49"/>
      <c r="M453" s="49"/>
      <c r="N453" s="49"/>
      <c r="O453" s="49"/>
      <c r="P453" s="49"/>
      <c r="Q453" s="49"/>
      <c r="R453" s="49"/>
    </row>
    <row r="454" spans="1:18" x14ac:dyDescent="0.25">
      <c r="A454" s="49"/>
      <c r="B454" s="103"/>
      <c r="C454" s="49"/>
      <c r="D454" s="49"/>
      <c r="E454" s="49"/>
      <c r="F454" s="112"/>
      <c r="G454" s="113"/>
      <c r="H454" s="39"/>
      <c r="I454" s="114"/>
      <c r="J454" s="154"/>
      <c r="K454" s="49"/>
      <c r="L454" s="49"/>
      <c r="M454" s="49"/>
      <c r="N454" s="49"/>
      <c r="O454" s="49"/>
      <c r="P454" s="49"/>
      <c r="Q454" s="49"/>
      <c r="R454" s="49"/>
    </row>
    <row r="455" spans="1:18" x14ac:dyDescent="0.25">
      <c r="A455" s="49"/>
      <c r="B455" s="103"/>
      <c r="C455" s="49"/>
      <c r="D455" s="49"/>
      <c r="E455" s="49"/>
      <c r="F455" s="112"/>
      <c r="G455" s="113"/>
      <c r="H455" s="39"/>
      <c r="I455" s="114"/>
      <c r="J455" s="154"/>
      <c r="K455" s="49"/>
      <c r="L455" s="49"/>
      <c r="M455" s="49"/>
      <c r="N455" s="49"/>
      <c r="O455" s="49"/>
      <c r="P455" s="49"/>
      <c r="Q455" s="49"/>
      <c r="R455" s="49"/>
    </row>
    <row r="456" spans="1:18" x14ac:dyDescent="0.25">
      <c r="A456" s="49"/>
      <c r="B456" s="103"/>
      <c r="C456" s="49"/>
      <c r="D456" s="49"/>
      <c r="E456" s="49"/>
      <c r="F456" s="112"/>
      <c r="G456" s="113"/>
      <c r="H456" s="39"/>
      <c r="I456" s="114"/>
      <c r="J456" s="154"/>
      <c r="K456" s="49"/>
      <c r="L456" s="49"/>
      <c r="M456" s="49"/>
      <c r="N456" s="49"/>
      <c r="O456" s="49"/>
      <c r="P456" s="49"/>
      <c r="Q456" s="49"/>
      <c r="R456" s="49"/>
    </row>
    <row r="457" spans="1:18" x14ac:dyDescent="0.25">
      <c r="A457" s="49"/>
      <c r="B457" s="103"/>
      <c r="C457" s="49"/>
      <c r="D457" s="49"/>
      <c r="E457" s="49"/>
      <c r="F457" s="112"/>
      <c r="G457" s="113"/>
      <c r="H457" s="39"/>
      <c r="I457" s="114"/>
      <c r="J457" s="154"/>
      <c r="K457" s="49"/>
      <c r="L457" s="49"/>
      <c r="M457" s="49"/>
      <c r="N457" s="49"/>
      <c r="O457" s="49"/>
      <c r="P457" s="49"/>
      <c r="Q457" s="49"/>
      <c r="R457" s="49"/>
    </row>
    <row r="458" spans="1:18" x14ac:dyDescent="0.25">
      <c r="A458" s="101"/>
      <c r="B458" s="166"/>
      <c r="C458" s="101"/>
      <c r="D458" s="49"/>
      <c r="E458" s="101"/>
      <c r="F458" s="168"/>
      <c r="G458" s="169"/>
      <c r="H458" s="170"/>
      <c r="I458" s="114"/>
      <c r="J458" s="154"/>
      <c r="K458" s="49"/>
      <c r="L458" s="49"/>
      <c r="M458" s="49"/>
      <c r="N458" s="49"/>
      <c r="O458" s="49"/>
      <c r="P458" s="49"/>
      <c r="Q458" s="49"/>
      <c r="R458" s="49"/>
    </row>
    <row r="459" spans="1:18" x14ac:dyDescent="0.25">
      <c r="A459" s="49"/>
      <c r="B459" s="103"/>
      <c r="C459" s="49"/>
      <c r="D459" s="49"/>
      <c r="E459" s="49"/>
      <c r="F459" s="154"/>
      <c r="G459" s="191"/>
      <c r="H459" s="39"/>
      <c r="I459" s="114"/>
      <c r="J459" s="103"/>
      <c r="K459" s="49"/>
      <c r="L459" s="49"/>
      <c r="M459" s="49"/>
      <c r="N459" s="49"/>
      <c r="O459" s="49"/>
      <c r="P459" s="49"/>
      <c r="Q459" s="49"/>
      <c r="R459" s="49"/>
    </row>
    <row r="460" spans="1:18" x14ac:dyDescent="0.25">
      <c r="A460" s="49"/>
      <c r="B460" s="103"/>
      <c r="C460" s="49"/>
      <c r="D460" s="49"/>
      <c r="E460" s="49"/>
      <c r="F460" s="154"/>
      <c r="G460" s="113"/>
      <c r="H460" s="39"/>
      <c r="I460" s="114"/>
      <c r="J460" s="298"/>
      <c r="K460" s="49"/>
      <c r="L460" s="49"/>
      <c r="M460" s="49"/>
      <c r="N460" s="49"/>
      <c r="O460" s="49"/>
      <c r="P460" s="49"/>
      <c r="Q460" s="49"/>
      <c r="R460" s="49"/>
    </row>
    <row r="461" spans="1:18" x14ac:dyDescent="0.25">
      <c r="A461" s="49"/>
      <c r="B461" s="103"/>
      <c r="C461" s="49"/>
      <c r="D461" s="49"/>
      <c r="E461" s="49"/>
      <c r="F461" s="154"/>
      <c r="G461" s="113"/>
      <c r="H461" s="39"/>
      <c r="I461" s="114"/>
      <c r="J461" s="103"/>
      <c r="K461" s="49"/>
      <c r="L461" s="49"/>
      <c r="M461" s="49"/>
      <c r="N461" s="49"/>
      <c r="O461" s="49"/>
      <c r="P461" s="49"/>
      <c r="Q461" s="49"/>
      <c r="R461" s="49"/>
    </row>
    <row r="462" spans="1:18" x14ac:dyDescent="0.25">
      <c r="A462" s="49"/>
      <c r="B462" s="103"/>
      <c r="C462" s="49"/>
      <c r="D462" s="49"/>
      <c r="E462" s="49"/>
      <c r="F462" s="154"/>
      <c r="G462" s="113"/>
      <c r="H462" s="39"/>
      <c r="I462" s="114"/>
      <c r="J462" s="103"/>
      <c r="K462" s="49"/>
      <c r="L462" s="49"/>
      <c r="M462" s="49"/>
      <c r="N462" s="49"/>
      <c r="O462" s="49"/>
      <c r="P462" s="49"/>
      <c r="Q462" s="49"/>
      <c r="R462" s="49"/>
    </row>
    <row r="463" spans="1:18" x14ac:dyDescent="0.25">
      <c r="A463" s="49"/>
      <c r="B463" s="103"/>
      <c r="C463" s="49"/>
      <c r="D463" s="49"/>
      <c r="E463" s="49"/>
      <c r="F463" s="154"/>
      <c r="G463" s="113"/>
      <c r="H463" s="39"/>
      <c r="I463" s="114"/>
      <c r="J463" s="103"/>
      <c r="K463" s="49"/>
      <c r="L463" s="49"/>
      <c r="M463" s="49"/>
      <c r="N463" s="49"/>
      <c r="O463" s="49"/>
      <c r="P463" s="49"/>
      <c r="Q463" s="49"/>
      <c r="R463" s="49"/>
    </row>
    <row r="464" spans="1:18" x14ac:dyDescent="0.25">
      <c r="A464" s="49"/>
      <c r="B464" s="103"/>
      <c r="C464" s="49"/>
      <c r="D464" s="49"/>
      <c r="E464" s="101"/>
      <c r="F464" s="154"/>
      <c r="G464" s="113"/>
      <c r="H464" s="39"/>
      <c r="I464" s="114"/>
      <c r="J464" s="103"/>
      <c r="K464" s="299"/>
      <c r="L464" s="49"/>
      <c r="M464" s="49"/>
      <c r="N464" s="49"/>
      <c r="O464" s="49"/>
      <c r="P464" s="49"/>
      <c r="Q464" s="49"/>
      <c r="R464" s="49"/>
    </row>
    <row r="465" spans="1:18" x14ac:dyDescent="0.25">
      <c r="A465" s="49"/>
      <c r="B465" s="103"/>
      <c r="C465" s="49"/>
      <c r="D465" s="49"/>
      <c r="E465" s="49"/>
      <c r="F465" s="112"/>
      <c r="G465" s="113"/>
      <c r="H465" s="39"/>
      <c r="I465" s="114"/>
      <c r="J465" s="154"/>
      <c r="K465" s="299"/>
      <c r="L465" s="49"/>
      <c r="M465" s="49"/>
      <c r="N465" s="49"/>
      <c r="O465" s="49"/>
      <c r="P465" s="49"/>
      <c r="Q465" s="49"/>
      <c r="R465" s="49"/>
    </row>
    <row r="466" spans="1:18" x14ac:dyDescent="0.25">
      <c r="A466" s="49"/>
      <c r="B466" s="103"/>
      <c r="C466" s="49"/>
      <c r="D466" s="49"/>
      <c r="E466" s="49"/>
      <c r="F466" s="112"/>
      <c r="G466" s="113"/>
      <c r="H466" s="39"/>
      <c r="I466" s="114"/>
      <c r="J466" s="154"/>
      <c r="K466" s="49"/>
      <c r="L466" s="49"/>
      <c r="M466" s="49"/>
      <c r="N466" s="49"/>
      <c r="O466" s="49"/>
      <c r="P466" s="49"/>
      <c r="Q466" s="49"/>
      <c r="R466" s="49"/>
    </row>
    <row r="467" spans="1:18" x14ac:dyDescent="0.25">
      <c r="A467" s="49"/>
      <c r="B467" s="103"/>
      <c r="C467" s="49"/>
      <c r="D467" s="49"/>
      <c r="E467" s="49"/>
      <c r="F467" s="112"/>
      <c r="G467" s="113"/>
      <c r="H467" s="39"/>
      <c r="I467" s="114"/>
      <c r="J467" s="154"/>
      <c r="K467" s="49"/>
      <c r="L467" s="49"/>
      <c r="M467" s="49"/>
      <c r="N467" s="49"/>
      <c r="O467" s="49"/>
      <c r="P467" s="49"/>
      <c r="Q467" s="49"/>
      <c r="R467" s="49"/>
    </row>
    <row r="468" spans="1:18" x14ac:dyDescent="0.25">
      <c r="A468" s="101"/>
      <c r="B468" s="166"/>
      <c r="C468" s="101"/>
      <c r="D468" s="49"/>
      <c r="E468" s="49"/>
      <c r="F468" s="168"/>
      <c r="G468" s="49"/>
      <c r="H468" s="170"/>
      <c r="I468" s="114"/>
      <c r="J468" s="154"/>
      <c r="K468" s="49"/>
      <c r="L468" s="49"/>
      <c r="M468" s="49"/>
      <c r="N468" s="49"/>
      <c r="O468" s="49"/>
      <c r="P468" s="49"/>
      <c r="Q468" s="49"/>
      <c r="R468" s="49"/>
    </row>
    <row r="469" spans="1:18" x14ac:dyDescent="0.25">
      <c r="A469" s="49"/>
      <c r="B469" s="103"/>
      <c r="C469" s="49"/>
      <c r="D469" s="49"/>
      <c r="E469" s="49"/>
      <c r="F469" s="112"/>
      <c r="G469" s="113"/>
      <c r="H469" s="39"/>
      <c r="I469" s="114"/>
      <c r="J469" s="154"/>
      <c r="K469" s="49"/>
      <c r="L469" s="49"/>
      <c r="M469" s="49"/>
      <c r="N469" s="49"/>
      <c r="O469" s="49"/>
      <c r="P469" s="49"/>
      <c r="Q469" s="49"/>
      <c r="R469" s="49"/>
    </row>
    <row r="470" spans="1:18" x14ac:dyDescent="0.25">
      <c r="A470" s="49"/>
      <c r="B470" s="103"/>
      <c r="C470" s="49"/>
      <c r="D470" s="49"/>
      <c r="E470" s="49"/>
      <c r="F470" s="154"/>
      <c r="G470" s="113"/>
      <c r="H470" s="39"/>
      <c r="I470" s="114"/>
      <c r="J470" s="298"/>
      <c r="K470" s="49"/>
      <c r="L470" s="49"/>
      <c r="M470" s="49"/>
      <c r="N470" s="49"/>
      <c r="O470" s="49"/>
      <c r="P470" s="49"/>
      <c r="Q470" s="49"/>
      <c r="R470" s="49"/>
    </row>
    <row r="471" spans="1:18" x14ac:dyDescent="0.25">
      <c r="A471" s="101"/>
      <c r="B471" s="166"/>
      <c r="C471" s="101"/>
      <c r="D471" s="49"/>
      <c r="E471" s="49"/>
      <c r="F471" s="168"/>
      <c r="G471" s="169"/>
      <c r="H471" s="170"/>
      <c r="I471" s="114"/>
      <c r="J471" s="154"/>
      <c r="K471" s="49"/>
      <c r="L471" s="49"/>
      <c r="M471" s="49"/>
      <c r="N471" s="49"/>
      <c r="O471" s="49"/>
      <c r="P471" s="49"/>
      <c r="Q471" s="49"/>
      <c r="R471" s="49"/>
    </row>
    <row r="472" spans="1:18" x14ac:dyDescent="0.25">
      <c r="A472" s="49"/>
      <c r="B472" s="103"/>
      <c r="C472" s="49"/>
      <c r="D472" s="49"/>
      <c r="E472" s="49"/>
      <c r="F472" s="112"/>
      <c r="G472" s="169"/>
      <c r="H472" s="39"/>
      <c r="I472" s="114"/>
      <c r="J472" s="154"/>
      <c r="K472" s="49"/>
      <c r="L472" s="49"/>
      <c r="M472" s="49"/>
      <c r="N472" s="49"/>
      <c r="O472" s="49"/>
      <c r="P472" s="49"/>
      <c r="Q472" s="49"/>
      <c r="R472" s="49"/>
    </row>
    <row r="473" spans="1:18" x14ac:dyDescent="0.25">
      <c r="A473" s="49"/>
      <c r="B473" s="103"/>
      <c r="C473" s="49"/>
      <c r="D473" s="49"/>
      <c r="E473" s="49"/>
      <c r="F473" s="154"/>
      <c r="G473" s="191"/>
      <c r="H473" s="39"/>
      <c r="I473" s="114"/>
      <c r="J473" s="154"/>
      <c r="K473" s="49"/>
      <c r="L473" s="49"/>
      <c r="M473" s="49"/>
      <c r="N473" s="49"/>
      <c r="O473" s="49"/>
      <c r="P473" s="49"/>
      <c r="Q473" s="49"/>
      <c r="R473" s="49"/>
    </row>
    <row r="474" spans="1:18" x14ac:dyDescent="0.25">
      <c r="A474" s="49"/>
      <c r="B474" s="103"/>
      <c r="C474" s="49"/>
      <c r="D474" s="49"/>
      <c r="E474" s="101"/>
      <c r="F474" s="154"/>
      <c r="G474" s="191"/>
      <c r="H474" s="39"/>
      <c r="I474" s="114"/>
      <c r="J474" s="154"/>
      <c r="K474" s="49"/>
      <c r="L474" s="49"/>
      <c r="M474" s="49"/>
      <c r="N474" s="49"/>
      <c r="O474" s="49"/>
      <c r="P474" s="49"/>
      <c r="Q474" s="49"/>
      <c r="R474" s="49"/>
    </row>
    <row r="475" spans="1:18" x14ac:dyDescent="0.25">
      <c r="A475" s="49"/>
      <c r="B475" s="103"/>
      <c r="C475" s="49"/>
      <c r="D475" s="49"/>
      <c r="E475" s="49"/>
      <c r="F475" s="154"/>
      <c r="G475" s="113"/>
      <c r="H475" s="39"/>
      <c r="I475" s="114"/>
      <c r="J475" s="154"/>
      <c r="K475" s="49"/>
      <c r="L475" s="49"/>
      <c r="M475" s="49"/>
      <c r="N475" s="49"/>
      <c r="O475" s="49"/>
      <c r="P475" s="49"/>
      <c r="Q475" s="49"/>
      <c r="R475" s="49"/>
    </row>
    <row r="476" spans="1:18" x14ac:dyDescent="0.25">
      <c r="A476" s="49"/>
      <c r="B476" s="103"/>
      <c r="C476" s="49"/>
      <c r="D476" s="49"/>
      <c r="E476" s="49"/>
      <c r="F476" s="154"/>
      <c r="G476" s="113"/>
      <c r="H476" s="39"/>
      <c r="I476" s="114"/>
      <c r="J476" s="154"/>
      <c r="K476" s="49"/>
      <c r="L476" s="49"/>
      <c r="M476" s="49"/>
      <c r="N476" s="49"/>
      <c r="O476" s="49"/>
      <c r="P476" s="49"/>
      <c r="Q476" s="49"/>
      <c r="R476" s="49"/>
    </row>
    <row r="477" spans="1:18" x14ac:dyDescent="0.25">
      <c r="A477" s="49"/>
      <c r="B477" s="103"/>
      <c r="C477" s="49"/>
      <c r="D477" s="49"/>
      <c r="E477" s="101"/>
      <c r="F477" s="154"/>
      <c r="G477" s="113"/>
      <c r="H477" s="39"/>
      <c r="I477" s="114"/>
      <c r="J477" s="298"/>
      <c r="K477" s="49"/>
      <c r="L477" s="49"/>
      <c r="M477" s="49"/>
      <c r="N477" s="49"/>
      <c r="O477" s="49"/>
      <c r="P477" s="49"/>
      <c r="Q477" s="49"/>
      <c r="R477" s="49"/>
    </row>
    <row r="478" spans="1:18" x14ac:dyDescent="0.25">
      <c r="A478" s="49"/>
      <c r="B478" s="103"/>
      <c r="C478" s="49"/>
      <c r="D478" s="49"/>
      <c r="E478" s="49"/>
      <c r="F478" s="154"/>
      <c r="G478" s="113"/>
      <c r="H478" s="39"/>
      <c r="I478" s="114"/>
      <c r="J478" s="154"/>
      <c r="K478" s="49"/>
      <c r="L478" s="49"/>
      <c r="M478" s="49"/>
      <c r="N478" s="49"/>
      <c r="O478" s="49"/>
      <c r="P478" s="49"/>
      <c r="Q478" s="49"/>
      <c r="R478" s="49"/>
    </row>
    <row r="479" spans="1:18" x14ac:dyDescent="0.25">
      <c r="A479" s="49"/>
      <c r="B479" s="103"/>
      <c r="C479" s="49"/>
      <c r="D479" s="49"/>
      <c r="E479" s="49"/>
      <c r="F479" s="154"/>
      <c r="G479" s="113"/>
      <c r="H479" s="39"/>
      <c r="I479" s="114"/>
      <c r="J479" s="154"/>
      <c r="K479" s="49"/>
      <c r="L479" s="49"/>
      <c r="M479" s="49"/>
      <c r="N479" s="49"/>
      <c r="O479" s="49"/>
      <c r="P479" s="49"/>
      <c r="Q479" s="49"/>
      <c r="R479" s="49"/>
    </row>
    <row r="480" spans="1:18" x14ac:dyDescent="0.25">
      <c r="A480" s="49"/>
      <c r="B480" s="103"/>
      <c r="C480" s="49"/>
      <c r="D480" s="49"/>
      <c r="E480" s="49"/>
      <c r="F480" s="154"/>
      <c r="G480" s="113"/>
      <c r="H480" s="39"/>
      <c r="I480" s="114"/>
      <c r="J480" s="154"/>
      <c r="K480" s="49"/>
      <c r="L480" s="49"/>
      <c r="M480" s="49"/>
      <c r="N480" s="49"/>
      <c r="O480" s="49"/>
      <c r="P480" s="49"/>
      <c r="Q480" s="49"/>
      <c r="R480" s="49"/>
    </row>
    <row r="481" spans="1:18" x14ac:dyDescent="0.25">
      <c r="A481" s="49"/>
      <c r="B481" s="103"/>
      <c r="C481" s="49"/>
      <c r="D481" s="49"/>
      <c r="E481" s="49"/>
      <c r="F481" s="154"/>
      <c r="G481" s="113"/>
      <c r="H481" s="39"/>
      <c r="I481" s="114"/>
      <c r="J481" s="103"/>
      <c r="K481" s="299"/>
      <c r="L481" s="49"/>
      <c r="M481" s="49"/>
      <c r="N481" s="49"/>
      <c r="O481" s="49"/>
      <c r="P481" s="49"/>
      <c r="Q481" s="49"/>
      <c r="R481" s="49"/>
    </row>
    <row r="482" spans="1:18" x14ac:dyDescent="0.25">
      <c r="A482" s="49"/>
      <c r="B482" s="103"/>
      <c r="C482" s="49"/>
      <c r="D482" s="49"/>
      <c r="E482" s="49"/>
      <c r="F482" s="154"/>
      <c r="G482" s="113"/>
      <c r="H482" s="39"/>
      <c r="I482" s="114"/>
      <c r="J482" s="154"/>
      <c r="K482" s="49"/>
      <c r="L482" s="49"/>
      <c r="M482" s="49"/>
      <c r="N482" s="49"/>
      <c r="O482" s="49"/>
      <c r="P482" s="49"/>
      <c r="Q482" s="49"/>
      <c r="R482" s="49"/>
    </row>
    <row r="483" spans="1:18" x14ac:dyDescent="0.25">
      <c r="A483" s="49"/>
      <c r="B483" s="103"/>
      <c r="C483" s="49"/>
      <c r="D483" s="49"/>
      <c r="E483" s="49"/>
      <c r="F483" s="154"/>
      <c r="G483" s="113"/>
      <c r="H483" s="39"/>
      <c r="I483" s="114"/>
      <c r="J483" s="154"/>
      <c r="K483" s="49"/>
      <c r="L483" s="49"/>
      <c r="M483" s="49"/>
      <c r="N483" s="49"/>
      <c r="O483" s="49"/>
      <c r="P483" s="49"/>
      <c r="Q483" s="49"/>
      <c r="R483" s="49"/>
    </row>
    <row r="484" spans="1:18" x14ac:dyDescent="0.25">
      <c r="A484" s="49"/>
      <c r="B484" s="103"/>
      <c r="C484" s="49"/>
      <c r="D484" s="49"/>
      <c r="E484" s="49"/>
      <c r="F484" s="154"/>
      <c r="G484" s="113"/>
      <c r="H484" s="39"/>
      <c r="I484" s="114"/>
      <c r="J484" s="154"/>
      <c r="K484" s="49"/>
      <c r="L484" s="49"/>
      <c r="M484" s="49"/>
      <c r="N484" s="49"/>
      <c r="O484" s="49"/>
      <c r="P484" s="49"/>
      <c r="Q484" s="49"/>
      <c r="R484" s="49"/>
    </row>
    <row r="485" spans="1:18" x14ac:dyDescent="0.25">
      <c r="A485" s="49"/>
      <c r="B485" s="103"/>
      <c r="C485" s="49"/>
      <c r="D485" s="49"/>
      <c r="E485" s="49"/>
      <c r="F485" s="154"/>
      <c r="G485" s="113"/>
      <c r="H485" s="39"/>
      <c r="I485" s="114"/>
      <c r="J485" s="154"/>
      <c r="K485" s="49"/>
      <c r="L485" s="49"/>
      <c r="M485" s="49"/>
      <c r="N485" s="49"/>
      <c r="O485" s="49"/>
      <c r="P485" s="49"/>
      <c r="Q485" s="49"/>
      <c r="R485" s="49"/>
    </row>
    <row r="486" spans="1:18" x14ac:dyDescent="0.25">
      <c r="A486" s="49"/>
      <c r="B486" s="103"/>
      <c r="C486" s="101"/>
      <c r="D486" s="49"/>
      <c r="E486" s="49"/>
      <c r="F486" s="154"/>
      <c r="G486" s="113"/>
      <c r="H486" s="39"/>
      <c r="I486" s="303"/>
      <c r="J486" s="154"/>
      <c r="K486" s="49"/>
      <c r="L486" s="49"/>
      <c r="M486" s="49"/>
      <c r="N486" s="49"/>
      <c r="O486" s="49"/>
      <c r="P486" s="49"/>
      <c r="Q486" s="49"/>
      <c r="R486" s="49"/>
    </row>
    <row r="487" spans="1:18" x14ac:dyDescent="0.25">
      <c r="A487" s="49"/>
      <c r="B487" s="103"/>
      <c r="C487" s="101"/>
      <c r="D487" s="49"/>
      <c r="E487" s="49"/>
      <c r="F487" s="154"/>
      <c r="G487" s="113"/>
      <c r="H487" s="39"/>
      <c r="I487" s="303"/>
      <c r="J487" s="154"/>
      <c r="K487" s="49"/>
      <c r="L487" s="49"/>
      <c r="M487" s="49"/>
      <c r="N487" s="49"/>
      <c r="O487" s="49"/>
      <c r="P487" s="49"/>
      <c r="Q487" s="49"/>
      <c r="R487" s="49"/>
    </row>
    <row r="488" spans="1:18" x14ac:dyDescent="0.25">
      <c r="A488" s="49"/>
      <c r="B488" s="103"/>
      <c r="C488" s="101"/>
      <c r="D488" s="49"/>
      <c r="E488" s="49"/>
      <c r="F488" s="154"/>
      <c r="G488" s="113"/>
      <c r="H488" s="39"/>
      <c r="I488" s="303"/>
      <c r="J488" s="154"/>
      <c r="K488" s="49"/>
      <c r="L488" s="49"/>
      <c r="M488" s="49"/>
      <c r="N488" s="49"/>
      <c r="O488" s="49"/>
      <c r="P488" s="49"/>
      <c r="Q488" s="49"/>
      <c r="R488" s="49"/>
    </row>
    <row r="489" spans="1:18" x14ac:dyDescent="0.25">
      <c r="A489" s="49"/>
      <c r="B489" s="103"/>
      <c r="C489" s="49"/>
      <c r="D489" s="49"/>
      <c r="E489" s="49"/>
      <c r="F489" s="154"/>
      <c r="G489" s="113"/>
      <c r="H489" s="39"/>
      <c r="I489" s="114"/>
      <c r="J489" s="154"/>
      <c r="K489" s="49"/>
      <c r="L489" s="49"/>
      <c r="M489" s="49"/>
      <c r="N489" s="49"/>
      <c r="O489" s="49"/>
      <c r="P489" s="49"/>
      <c r="Q489" s="49"/>
      <c r="R489" s="49"/>
    </row>
    <row r="490" spans="1:18" x14ac:dyDescent="0.25">
      <c r="A490" s="49"/>
      <c r="B490" s="103"/>
      <c r="C490" s="101"/>
      <c r="D490" s="49"/>
      <c r="E490" s="49"/>
      <c r="F490" s="154"/>
      <c r="G490" s="113"/>
      <c r="H490" s="39"/>
      <c r="I490" s="114"/>
      <c r="J490" s="154"/>
      <c r="K490" s="49"/>
      <c r="L490" s="49"/>
      <c r="M490" s="49"/>
      <c r="N490" s="49"/>
      <c r="O490" s="49"/>
      <c r="P490" s="49"/>
      <c r="Q490" s="49"/>
      <c r="R490" s="49"/>
    </row>
    <row r="491" spans="1:18" x14ac:dyDescent="0.25">
      <c r="A491" s="49"/>
      <c r="B491" s="103"/>
      <c r="C491" s="101"/>
      <c r="D491" s="49"/>
      <c r="E491" s="49"/>
      <c r="F491" s="154"/>
      <c r="G491" s="113"/>
      <c r="H491" s="39"/>
      <c r="I491" s="114"/>
      <c r="J491" s="154"/>
      <c r="K491" s="49"/>
      <c r="L491" s="49"/>
      <c r="M491" s="49"/>
      <c r="N491" s="49"/>
      <c r="O491" s="49"/>
      <c r="P491" s="49"/>
      <c r="Q491" s="49"/>
      <c r="R491" s="49"/>
    </row>
    <row r="492" spans="1:18" x14ac:dyDescent="0.25">
      <c r="A492" s="49"/>
      <c r="B492" s="103"/>
      <c r="C492" s="101"/>
      <c r="D492" s="49"/>
      <c r="E492" s="49"/>
      <c r="F492" s="154"/>
      <c r="G492" s="113"/>
      <c r="H492" s="39"/>
      <c r="I492" s="114"/>
      <c r="J492" s="298"/>
      <c r="K492" s="49"/>
      <c r="L492" s="49"/>
      <c r="M492" s="49"/>
      <c r="N492" s="49"/>
      <c r="O492" s="49"/>
      <c r="P492" s="49"/>
      <c r="Q492" s="49"/>
      <c r="R492" s="49"/>
    </row>
    <row r="493" spans="1:18" x14ac:dyDescent="0.25">
      <c r="A493" s="49"/>
      <c r="B493" s="103"/>
      <c r="C493" s="101"/>
      <c r="D493" s="49"/>
      <c r="E493" s="49"/>
      <c r="F493" s="154"/>
      <c r="G493" s="113"/>
      <c r="H493" s="39"/>
      <c r="I493" s="114"/>
      <c r="J493" s="154"/>
      <c r="K493" s="49"/>
      <c r="L493" s="49"/>
      <c r="M493" s="49"/>
      <c r="N493" s="49"/>
      <c r="O493" s="49"/>
      <c r="P493" s="49"/>
      <c r="Q493" s="49"/>
      <c r="R493" s="49"/>
    </row>
    <row r="494" spans="1:18" x14ac:dyDescent="0.25">
      <c r="A494" s="49"/>
      <c r="B494" s="103"/>
      <c r="C494" s="101"/>
      <c r="D494" s="49"/>
      <c r="E494" s="49"/>
      <c r="F494" s="154"/>
      <c r="G494" s="113"/>
      <c r="H494" s="39"/>
      <c r="I494" s="114"/>
      <c r="J494" s="154"/>
      <c r="K494" s="49"/>
      <c r="L494" s="49"/>
      <c r="M494" s="49"/>
      <c r="N494" s="49"/>
      <c r="O494" s="49"/>
      <c r="P494" s="49"/>
      <c r="Q494" s="49"/>
      <c r="R494" s="49"/>
    </row>
    <row r="495" spans="1:18" x14ac:dyDescent="0.25">
      <c r="A495" s="49"/>
      <c r="B495" s="103"/>
      <c r="C495" s="101"/>
      <c r="D495" s="49"/>
      <c r="E495" s="321"/>
      <c r="F495" s="154"/>
      <c r="G495" s="113"/>
      <c r="H495" s="39"/>
      <c r="I495" s="114"/>
      <c r="J495" s="154"/>
      <c r="K495" s="49"/>
      <c r="L495" s="49"/>
      <c r="M495" s="49"/>
      <c r="N495" s="49"/>
      <c r="O495" s="49"/>
      <c r="P495" s="49"/>
      <c r="Q495" s="49"/>
      <c r="R495" s="49"/>
    </row>
    <row r="496" spans="1:18" x14ac:dyDescent="0.25">
      <c r="A496" s="49"/>
      <c r="B496" s="103"/>
      <c r="C496" s="101"/>
      <c r="D496" s="49"/>
      <c r="E496" s="49"/>
      <c r="F496" s="154"/>
      <c r="G496" s="113"/>
      <c r="H496" s="39"/>
      <c r="I496" s="114"/>
      <c r="J496" s="154"/>
      <c r="K496" s="49"/>
      <c r="L496" s="49"/>
      <c r="M496" s="49"/>
      <c r="N496" s="49"/>
      <c r="O496" s="49"/>
      <c r="P496" s="49"/>
      <c r="Q496" s="49"/>
      <c r="R496" s="49"/>
    </row>
    <row r="497" spans="1:18" x14ac:dyDescent="0.25">
      <c r="A497" s="49"/>
      <c r="B497" s="103"/>
      <c r="C497" s="101"/>
      <c r="D497" s="49"/>
      <c r="E497" s="49"/>
      <c r="F497" s="154"/>
      <c r="G497" s="113"/>
      <c r="H497" s="39"/>
      <c r="I497" s="114"/>
      <c r="J497" s="154"/>
      <c r="K497" s="49"/>
      <c r="L497" s="49"/>
      <c r="M497" s="49"/>
      <c r="N497" s="49"/>
      <c r="O497" s="49"/>
      <c r="P497" s="49"/>
      <c r="Q497" s="49"/>
      <c r="R497" s="49"/>
    </row>
    <row r="498" spans="1:18" x14ac:dyDescent="0.25">
      <c r="A498" s="101"/>
      <c r="B498" s="166"/>
      <c r="C498" s="101"/>
      <c r="D498" s="49"/>
      <c r="E498" s="49"/>
      <c r="F498" s="154"/>
      <c r="G498" s="113"/>
      <c r="H498" s="39"/>
      <c r="I498" s="114"/>
      <c r="J498" s="154"/>
      <c r="K498" s="49"/>
      <c r="L498" s="49"/>
      <c r="M498" s="49"/>
      <c r="N498" s="49"/>
      <c r="O498" s="49"/>
      <c r="P498" s="49"/>
      <c r="Q498" s="49"/>
      <c r="R498" s="49"/>
    </row>
    <row r="499" spans="1:18" x14ac:dyDescent="0.25">
      <c r="A499" s="101"/>
      <c r="B499" s="166"/>
      <c r="C499" s="101"/>
      <c r="D499" s="49"/>
      <c r="E499" s="49"/>
      <c r="F499" s="154"/>
      <c r="G499" s="113"/>
      <c r="H499" s="39"/>
      <c r="I499" s="114"/>
      <c r="J499" s="154"/>
      <c r="K499" s="49"/>
      <c r="L499" s="49"/>
      <c r="M499" s="49"/>
      <c r="N499" s="49"/>
      <c r="O499" s="49"/>
      <c r="P499" s="49"/>
      <c r="Q499" s="49"/>
      <c r="R499" s="49"/>
    </row>
    <row r="500" spans="1:18" x14ac:dyDescent="0.25">
      <c r="A500" s="49"/>
      <c r="B500" s="103"/>
      <c r="C500" s="49"/>
      <c r="D500" s="49"/>
      <c r="E500" s="49"/>
      <c r="F500" s="112"/>
      <c r="G500" s="113"/>
      <c r="H500" s="39"/>
      <c r="I500" s="114"/>
      <c r="J500" s="154"/>
      <c r="K500" s="49"/>
      <c r="L500" s="49"/>
      <c r="M500" s="49"/>
      <c r="N500" s="49"/>
      <c r="O500" s="49"/>
      <c r="P500" s="49"/>
      <c r="Q500" s="49"/>
      <c r="R500" s="49"/>
    </row>
    <row r="501" spans="1:18" x14ac:dyDescent="0.25">
      <c r="A501" s="49"/>
      <c r="B501" s="103"/>
      <c r="C501" s="49"/>
      <c r="D501" s="49"/>
      <c r="E501" s="49"/>
      <c r="F501" s="112"/>
      <c r="G501" s="113"/>
      <c r="H501" s="39"/>
      <c r="I501" s="114"/>
      <c r="J501" s="154"/>
      <c r="K501" s="49"/>
      <c r="L501" s="49"/>
      <c r="M501" s="49"/>
      <c r="N501" s="49"/>
      <c r="O501" s="49"/>
      <c r="P501" s="49"/>
      <c r="Q501" s="49"/>
      <c r="R501" s="49"/>
    </row>
    <row r="502" spans="1:18" x14ac:dyDescent="0.25">
      <c r="A502" s="49"/>
      <c r="B502" s="103"/>
      <c r="C502" s="49"/>
      <c r="D502" s="49"/>
      <c r="E502" s="49"/>
      <c r="F502" s="112"/>
      <c r="G502" s="113"/>
      <c r="H502" s="39"/>
      <c r="I502" s="114"/>
      <c r="J502" s="298"/>
      <c r="K502" s="299"/>
      <c r="L502" s="49"/>
      <c r="M502" s="49"/>
      <c r="N502" s="49"/>
      <c r="O502" s="49"/>
      <c r="P502" s="49"/>
      <c r="Q502" s="49"/>
      <c r="R502" s="49"/>
    </row>
    <row r="503" spans="1:18" x14ac:dyDescent="0.25">
      <c r="A503" s="49"/>
      <c r="B503" s="103"/>
      <c r="C503" s="49"/>
      <c r="D503" s="49"/>
      <c r="E503" s="49"/>
      <c r="F503" s="112"/>
      <c r="G503" s="113"/>
      <c r="H503" s="39"/>
      <c r="I503" s="114"/>
      <c r="J503" s="154"/>
      <c r="K503" s="299"/>
      <c r="L503" s="49"/>
      <c r="M503" s="49"/>
      <c r="N503" s="49"/>
      <c r="O503" s="49"/>
      <c r="P503" s="49"/>
      <c r="Q503" s="49"/>
      <c r="R503" s="49"/>
    </row>
    <row r="504" spans="1:18" x14ac:dyDescent="0.25">
      <c r="A504" s="49"/>
      <c r="B504" s="103"/>
      <c r="C504" s="49"/>
      <c r="D504" s="49"/>
      <c r="E504" s="101"/>
      <c r="F504" s="112"/>
      <c r="G504" s="113"/>
      <c r="H504" s="39"/>
      <c r="I504" s="114"/>
      <c r="J504" s="154"/>
      <c r="K504" s="299"/>
      <c r="L504" s="49"/>
      <c r="M504" s="49"/>
      <c r="N504" s="49"/>
      <c r="O504" s="49"/>
      <c r="P504" s="49"/>
      <c r="Q504" s="49"/>
      <c r="R504" s="49"/>
    </row>
    <row r="505" spans="1:18" x14ac:dyDescent="0.25">
      <c r="A505" s="49"/>
      <c r="B505" s="103"/>
      <c r="C505" s="49"/>
      <c r="D505" s="49"/>
      <c r="E505" s="101"/>
      <c r="F505" s="112"/>
      <c r="G505" s="191"/>
      <c r="H505" s="39"/>
      <c r="I505" s="114"/>
      <c r="J505" s="154"/>
      <c r="K505" s="49"/>
      <c r="L505" s="49"/>
      <c r="M505" s="49"/>
      <c r="N505" s="49"/>
      <c r="O505" s="49"/>
      <c r="P505" s="49"/>
      <c r="Q505" s="49"/>
      <c r="R505" s="49"/>
    </row>
    <row r="506" spans="1:18" x14ac:dyDescent="0.25">
      <c r="A506" s="49"/>
      <c r="B506" s="103"/>
      <c r="C506" s="49"/>
      <c r="D506" s="49"/>
      <c r="E506" s="49"/>
      <c r="F506" s="112"/>
      <c r="G506" s="191"/>
      <c r="H506" s="39"/>
      <c r="I506" s="114"/>
      <c r="J506" s="154"/>
      <c r="K506" s="49"/>
      <c r="L506" s="49"/>
      <c r="M506" s="49"/>
      <c r="N506" s="49"/>
      <c r="O506" s="49"/>
      <c r="P506" s="49"/>
      <c r="Q506" s="49"/>
      <c r="R506" s="49"/>
    </row>
    <row r="507" spans="1:18" x14ac:dyDescent="0.25">
      <c r="A507" s="49"/>
      <c r="B507" s="103"/>
      <c r="C507" s="49"/>
      <c r="D507" s="49"/>
      <c r="E507" s="49"/>
      <c r="F507" s="112"/>
      <c r="G507" s="191"/>
      <c r="H507" s="39"/>
      <c r="I507" s="114"/>
      <c r="J507" s="154"/>
      <c r="K507" s="49"/>
      <c r="L507" s="49"/>
      <c r="M507" s="49"/>
      <c r="N507" s="49"/>
      <c r="O507" s="49"/>
      <c r="P507" s="49"/>
      <c r="Q507" s="49"/>
      <c r="R507" s="49"/>
    </row>
    <row r="508" spans="1:18" x14ac:dyDescent="0.25">
      <c r="A508" s="49"/>
      <c r="B508" s="103"/>
      <c r="C508" s="49"/>
      <c r="D508" s="49"/>
      <c r="E508" s="49"/>
      <c r="F508" s="112"/>
      <c r="G508" s="113"/>
      <c r="H508" s="39"/>
      <c r="I508" s="114"/>
      <c r="J508" s="154"/>
      <c r="K508" s="49"/>
      <c r="L508" s="49"/>
      <c r="M508" s="49"/>
      <c r="N508" s="49"/>
      <c r="O508" s="49"/>
      <c r="P508" s="49"/>
      <c r="Q508" s="49"/>
      <c r="R508" s="49"/>
    </row>
    <row r="509" spans="1:18" x14ac:dyDescent="0.25">
      <c r="A509" s="49"/>
      <c r="B509" s="103"/>
      <c r="C509" s="49"/>
      <c r="D509" s="49"/>
      <c r="E509" s="49"/>
      <c r="F509" s="112"/>
      <c r="G509" s="191"/>
      <c r="H509" s="39"/>
      <c r="I509" s="114"/>
      <c r="J509" s="154"/>
      <c r="K509" s="49"/>
      <c r="L509" s="49"/>
      <c r="M509" s="49"/>
      <c r="N509" s="49"/>
      <c r="O509" s="49"/>
      <c r="P509" s="49"/>
      <c r="Q509" s="49"/>
      <c r="R509" s="49"/>
    </row>
    <row r="510" spans="1:18" x14ac:dyDescent="0.25">
      <c r="A510" s="49"/>
      <c r="B510" s="103"/>
      <c r="C510" s="101"/>
      <c r="D510" s="49"/>
      <c r="E510" s="49"/>
      <c r="F510" s="154"/>
      <c r="G510" s="113"/>
      <c r="H510" s="39"/>
      <c r="I510" s="114"/>
      <c r="J510" s="154"/>
      <c r="K510" s="49"/>
      <c r="L510" s="49"/>
      <c r="M510" s="49"/>
      <c r="N510" s="49"/>
      <c r="O510" s="49"/>
      <c r="P510" s="299"/>
      <c r="Q510" s="49"/>
      <c r="R510" s="49"/>
    </row>
    <row r="511" spans="1:18" x14ac:dyDescent="0.25">
      <c r="A511" s="49"/>
      <c r="B511" s="103"/>
      <c r="C511" s="101"/>
      <c r="D511" s="49"/>
      <c r="E511" s="49"/>
      <c r="F511" s="154"/>
      <c r="G511" s="113"/>
      <c r="H511" s="39"/>
      <c r="I511" s="114"/>
      <c r="J511" s="154"/>
      <c r="K511" s="49"/>
      <c r="L511" s="49"/>
      <c r="M511" s="49"/>
      <c r="N511" s="49"/>
      <c r="O511" s="49"/>
      <c r="P511" s="49"/>
      <c r="Q511" s="49"/>
      <c r="R511" s="49"/>
    </row>
    <row r="512" spans="1:18" x14ac:dyDescent="0.25">
      <c r="A512" s="49"/>
      <c r="B512" s="103"/>
      <c r="C512" s="101"/>
      <c r="D512" s="49"/>
      <c r="E512" s="49"/>
      <c r="F512" s="154"/>
      <c r="G512" s="113"/>
      <c r="H512" s="39"/>
      <c r="I512" s="114"/>
      <c r="J512" s="154"/>
      <c r="K512" s="49"/>
      <c r="L512" s="49"/>
      <c r="M512" s="49"/>
      <c r="N512" s="49"/>
      <c r="O512" s="49"/>
      <c r="P512" s="49"/>
      <c r="Q512" s="49"/>
      <c r="R512" s="49"/>
    </row>
    <row r="513" spans="1:18" x14ac:dyDescent="0.25">
      <c r="A513" s="49"/>
      <c r="B513" s="103"/>
      <c r="C513" s="101"/>
      <c r="D513" s="49"/>
      <c r="E513" s="49"/>
      <c r="F513" s="154"/>
      <c r="G513" s="113"/>
      <c r="H513" s="39"/>
      <c r="I513" s="114"/>
      <c r="J513" s="154"/>
      <c r="K513" s="49"/>
      <c r="L513" s="49"/>
      <c r="M513" s="49"/>
      <c r="N513" s="49"/>
      <c r="O513" s="49"/>
      <c r="P513" s="49"/>
      <c r="Q513" s="49"/>
      <c r="R513" s="49"/>
    </row>
    <row r="514" spans="1:18" x14ac:dyDescent="0.25">
      <c r="A514" s="49"/>
      <c r="B514" s="103"/>
      <c r="C514" s="101"/>
      <c r="D514" s="49"/>
      <c r="E514" s="49"/>
      <c r="F514" s="154"/>
      <c r="G514" s="113"/>
      <c r="H514" s="39"/>
      <c r="I514" s="114"/>
      <c r="J514" s="154"/>
      <c r="K514" s="49"/>
      <c r="L514" s="49"/>
      <c r="M514" s="49"/>
      <c r="N514" s="49"/>
      <c r="O514" s="49"/>
      <c r="P514" s="49"/>
      <c r="Q514" s="49"/>
      <c r="R514" s="299"/>
    </row>
    <row r="515" spans="1:18" x14ac:dyDescent="0.25">
      <c r="A515" s="49"/>
      <c r="B515" s="103"/>
      <c r="C515" s="101"/>
      <c r="D515" s="49"/>
      <c r="E515" s="49"/>
      <c r="F515" s="154"/>
      <c r="G515" s="113"/>
      <c r="H515" s="39"/>
      <c r="I515" s="114"/>
      <c r="J515" s="154"/>
      <c r="K515" s="49"/>
      <c r="L515" s="49"/>
      <c r="M515" s="49"/>
      <c r="N515" s="49"/>
      <c r="O515" s="49"/>
      <c r="P515" s="49"/>
      <c r="Q515" s="49"/>
      <c r="R515" s="299"/>
    </row>
    <row r="516" spans="1:18" x14ac:dyDescent="0.25">
      <c r="A516" s="49"/>
      <c r="B516" s="103"/>
      <c r="C516" s="101"/>
      <c r="D516" s="49"/>
      <c r="E516" s="49"/>
      <c r="F516" s="154"/>
      <c r="G516" s="113"/>
      <c r="H516" s="39"/>
      <c r="I516" s="114"/>
      <c r="J516" s="154"/>
      <c r="K516" s="49"/>
      <c r="L516" s="49"/>
      <c r="M516" s="49"/>
      <c r="N516" s="49"/>
      <c r="O516" s="49"/>
      <c r="P516" s="49"/>
      <c r="Q516" s="49"/>
      <c r="R516" s="49"/>
    </row>
    <row r="517" spans="1:18" x14ac:dyDescent="0.25">
      <c r="A517" s="49"/>
      <c r="B517" s="103"/>
      <c r="C517" s="101"/>
      <c r="D517" s="49"/>
      <c r="E517" s="49"/>
      <c r="F517" s="154"/>
      <c r="G517" s="113"/>
      <c r="H517" s="39"/>
      <c r="I517" s="114"/>
      <c r="J517" s="154"/>
      <c r="K517" s="49"/>
      <c r="L517" s="49"/>
      <c r="M517" s="49"/>
      <c r="N517" s="49"/>
      <c r="O517" s="49"/>
      <c r="P517" s="49"/>
      <c r="Q517" s="49"/>
      <c r="R517" s="49"/>
    </row>
    <row r="518" spans="1:18" x14ac:dyDescent="0.25">
      <c r="A518" s="49"/>
      <c r="B518" s="103"/>
      <c r="C518" s="101"/>
      <c r="D518" s="49"/>
      <c r="E518" s="49"/>
      <c r="F518" s="154"/>
      <c r="G518" s="113"/>
      <c r="H518" s="39"/>
      <c r="I518" s="114"/>
      <c r="J518" s="154"/>
      <c r="K518" s="49"/>
      <c r="L518" s="49"/>
      <c r="M518" s="49"/>
      <c r="N518" s="49"/>
      <c r="O518" s="49"/>
      <c r="P518" s="49"/>
      <c r="Q518" s="49"/>
      <c r="R518" s="49"/>
    </row>
    <row r="519" spans="1:18" x14ac:dyDescent="0.25">
      <c r="A519" s="49"/>
      <c r="B519" s="103"/>
      <c r="C519" s="101"/>
      <c r="D519" s="49"/>
      <c r="E519" s="49"/>
      <c r="F519" s="154"/>
      <c r="G519" s="113"/>
      <c r="H519" s="39"/>
      <c r="I519" s="114"/>
      <c r="J519" s="154"/>
      <c r="K519" s="49"/>
      <c r="L519" s="49"/>
      <c r="M519" s="49"/>
      <c r="N519" s="49"/>
      <c r="O519" s="49"/>
      <c r="P519" s="49"/>
      <c r="Q519" s="49"/>
      <c r="R519" s="49"/>
    </row>
    <row r="520" spans="1:18" x14ac:dyDescent="0.25">
      <c r="A520" s="49"/>
      <c r="B520" s="103"/>
      <c r="C520" s="299"/>
      <c r="D520" s="74"/>
      <c r="E520" s="49"/>
      <c r="F520" s="112"/>
      <c r="G520" s="113"/>
      <c r="H520" s="39"/>
      <c r="I520" s="114"/>
      <c r="J520" s="49"/>
      <c r="K520" s="49"/>
      <c r="L520" s="49"/>
      <c r="M520" s="49"/>
      <c r="N520" s="49"/>
      <c r="O520" s="49"/>
      <c r="P520" s="49"/>
      <c r="Q520" s="49"/>
      <c r="R520" s="49"/>
    </row>
    <row r="521" spans="1:18" x14ac:dyDescent="0.25">
      <c r="A521" s="49"/>
      <c r="B521" s="103"/>
      <c r="C521" s="299"/>
      <c r="D521" s="74"/>
      <c r="E521" s="49"/>
      <c r="F521" s="112"/>
      <c r="G521" s="113"/>
      <c r="H521" s="39"/>
      <c r="I521" s="114"/>
      <c r="J521" s="49"/>
      <c r="K521" s="49"/>
      <c r="L521" s="49"/>
      <c r="M521" s="49"/>
      <c r="N521" s="49"/>
      <c r="O521" s="49"/>
      <c r="P521" s="49"/>
      <c r="Q521" s="49"/>
      <c r="R521" s="49"/>
    </row>
    <row r="522" spans="1:18" x14ac:dyDescent="0.25">
      <c r="A522" s="49"/>
      <c r="B522" s="103"/>
      <c r="C522" s="299"/>
      <c r="D522" s="74"/>
      <c r="E522" s="49"/>
      <c r="F522" s="112"/>
      <c r="G522" s="113"/>
      <c r="H522" s="39"/>
      <c r="I522" s="114"/>
      <c r="J522" s="49"/>
      <c r="K522" s="49"/>
      <c r="L522" s="49"/>
      <c r="M522" s="49"/>
      <c r="N522" s="49"/>
      <c r="O522" s="49"/>
      <c r="P522" s="49"/>
      <c r="Q522" s="49"/>
      <c r="R522" s="49"/>
    </row>
    <row r="523" spans="1:18" x14ac:dyDescent="0.25">
      <c r="A523" s="49"/>
      <c r="B523" s="103"/>
      <c r="C523" s="49"/>
      <c r="D523" s="74"/>
      <c r="E523" s="49"/>
      <c r="F523" s="112"/>
      <c r="G523" s="113"/>
      <c r="H523" s="39"/>
      <c r="I523" s="114"/>
      <c r="J523" s="154"/>
      <c r="K523" s="49"/>
      <c r="L523" s="49"/>
      <c r="M523" s="49"/>
      <c r="N523" s="49"/>
      <c r="O523" s="49"/>
      <c r="P523" s="49"/>
      <c r="Q523" s="49"/>
      <c r="R523" s="49"/>
    </row>
    <row r="524" spans="1:18" x14ac:dyDescent="0.25">
      <c r="A524" s="49"/>
      <c r="B524" s="103"/>
      <c r="C524" s="299"/>
      <c r="D524" s="74"/>
      <c r="E524" s="49"/>
      <c r="F524" s="112"/>
      <c r="G524" s="113"/>
      <c r="H524" s="39"/>
      <c r="I524" s="114"/>
      <c r="J524" s="154"/>
      <c r="K524" s="49"/>
      <c r="L524" s="49"/>
      <c r="M524" s="299"/>
      <c r="N524" s="49"/>
      <c r="O524" s="49"/>
      <c r="P524" s="49"/>
      <c r="Q524" s="49"/>
      <c r="R524" s="49"/>
    </row>
    <row r="525" spans="1:18" x14ac:dyDescent="0.25">
      <c r="A525" s="49"/>
      <c r="B525" s="103"/>
      <c r="C525" s="299"/>
      <c r="D525" s="74"/>
      <c r="E525" s="101"/>
      <c r="F525" s="112"/>
      <c r="G525" s="113"/>
      <c r="H525" s="39"/>
      <c r="I525" s="114"/>
      <c r="J525" s="154"/>
      <c r="K525" s="49"/>
      <c r="L525" s="49"/>
      <c r="M525" s="49"/>
      <c r="N525" s="49"/>
      <c r="O525" s="49"/>
      <c r="P525" s="49"/>
      <c r="Q525" s="49"/>
      <c r="R525" s="49"/>
    </row>
    <row r="526" spans="1:18" x14ac:dyDescent="0.25">
      <c r="A526" s="49"/>
      <c r="B526" s="103"/>
      <c r="C526" s="299"/>
      <c r="D526" s="74"/>
      <c r="E526" s="49"/>
      <c r="F526" s="112"/>
      <c r="G526" s="113"/>
      <c r="H526" s="39"/>
      <c r="I526" s="114"/>
      <c r="J526" s="49"/>
      <c r="K526" s="49"/>
      <c r="L526" s="49"/>
      <c r="M526" s="49"/>
      <c r="N526" s="49"/>
      <c r="O526" s="49"/>
      <c r="P526" s="49"/>
      <c r="Q526" s="49"/>
      <c r="R526" s="49"/>
    </row>
    <row r="527" spans="1:18" x14ac:dyDescent="0.25">
      <c r="A527" s="49"/>
      <c r="B527" s="103"/>
      <c r="C527" s="49"/>
      <c r="D527" s="74"/>
      <c r="E527" s="49"/>
      <c r="F527" s="112"/>
      <c r="G527" s="113"/>
      <c r="H527" s="39"/>
      <c r="I527" s="114"/>
      <c r="J527" s="154"/>
      <c r="K527" s="49"/>
      <c r="L527" s="49"/>
      <c r="M527" s="49"/>
      <c r="N527" s="49"/>
      <c r="O527" s="49"/>
      <c r="P527" s="49"/>
      <c r="Q527" s="49"/>
      <c r="R527" s="49"/>
    </row>
    <row r="528" spans="1:18" x14ac:dyDescent="0.25">
      <c r="A528" s="49"/>
      <c r="B528" s="103"/>
      <c r="C528" s="49"/>
      <c r="D528" s="74"/>
      <c r="E528" s="49"/>
      <c r="F528" s="112"/>
      <c r="G528" s="113"/>
      <c r="H528" s="39"/>
      <c r="I528" s="39"/>
      <c r="J528" s="154"/>
      <c r="K528" s="49"/>
      <c r="L528" s="49"/>
      <c r="M528" s="49"/>
      <c r="N528" s="49"/>
      <c r="O528" s="49"/>
      <c r="P528" s="49"/>
      <c r="Q528" s="49"/>
      <c r="R528" s="49"/>
    </row>
    <row r="529" spans="1:18" x14ac:dyDescent="0.25">
      <c r="A529" s="49"/>
      <c r="B529" s="103"/>
      <c r="C529" s="49"/>
      <c r="D529" s="74"/>
      <c r="E529" s="49"/>
      <c r="F529" s="112"/>
      <c r="G529" s="113"/>
      <c r="H529" s="39"/>
      <c r="I529" s="39"/>
      <c r="J529" s="154"/>
      <c r="K529" s="49"/>
      <c r="L529" s="49"/>
      <c r="M529" s="49"/>
      <c r="N529" s="49"/>
      <c r="O529" s="49"/>
      <c r="P529" s="49"/>
      <c r="Q529" s="49"/>
      <c r="R529" s="49"/>
    </row>
    <row r="530" spans="1:18" x14ac:dyDescent="0.25">
      <c r="A530" s="49"/>
      <c r="B530" s="103"/>
      <c r="C530" s="49"/>
      <c r="D530" s="74"/>
      <c r="E530" s="49"/>
      <c r="F530" s="112"/>
      <c r="G530" s="113"/>
      <c r="H530" s="39"/>
      <c r="I530" s="114"/>
      <c r="J530" s="154"/>
      <c r="K530" s="49"/>
      <c r="L530" s="49"/>
      <c r="M530" s="49"/>
      <c r="N530" s="49"/>
      <c r="O530" s="49"/>
      <c r="P530" s="49"/>
      <c r="Q530" s="49"/>
      <c r="R530" s="49"/>
    </row>
    <row r="531" spans="1:18" x14ac:dyDescent="0.25">
      <c r="A531" s="49"/>
      <c r="B531" s="103"/>
      <c r="C531" s="49"/>
      <c r="D531" s="49"/>
      <c r="E531" s="49"/>
      <c r="F531" s="112"/>
      <c r="G531" s="113"/>
      <c r="H531" s="39"/>
      <c r="I531" s="114"/>
      <c r="J531" s="154"/>
      <c r="K531" s="49"/>
      <c r="L531" s="49"/>
      <c r="M531" s="49"/>
      <c r="N531" s="49"/>
      <c r="O531" s="49"/>
      <c r="P531" s="49"/>
      <c r="Q531" s="49"/>
      <c r="R531" s="49"/>
    </row>
    <row r="532" spans="1:18" x14ac:dyDescent="0.25">
      <c r="A532" s="49"/>
      <c r="B532" s="103"/>
      <c r="C532" s="49"/>
      <c r="D532" s="49"/>
      <c r="E532" s="49"/>
      <c r="F532" s="112"/>
      <c r="G532" s="113"/>
      <c r="H532" s="39"/>
      <c r="I532" s="114"/>
      <c r="J532" s="154"/>
      <c r="K532" s="49"/>
      <c r="L532" s="49"/>
      <c r="M532" s="49"/>
      <c r="N532" s="49"/>
      <c r="O532" s="49"/>
      <c r="P532" s="49"/>
      <c r="Q532" s="49"/>
      <c r="R532" s="49"/>
    </row>
    <row r="533" spans="1:18" x14ac:dyDescent="0.25">
      <c r="A533" s="49"/>
      <c r="B533" s="103"/>
      <c r="C533" s="49"/>
      <c r="D533" s="49"/>
      <c r="E533" s="49"/>
      <c r="F533" s="112"/>
      <c r="G533" s="113"/>
      <c r="H533" s="39"/>
      <c r="I533" s="114"/>
      <c r="J533" s="154"/>
      <c r="K533" s="49"/>
      <c r="L533" s="49"/>
      <c r="M533" s="49"/>
      <c r="N533" s="49"/>
      <c r="O533" s="49"/>
      <c r="P533" s="49"/>
      <c r="Q533" s="49"/>
      <c r="R533" s="49"/>
    </row>
    <row r="534" spans="1:18" x14ac:dyDescent="0.25">
      <c r="A534" s="49"/>
      <c r="B534" s="103"/>
      <c r="C534" s="49"/>
      <c r="D534" s="49"/>
      <c r="E534" s="49"/>
      <c r="F534" s="112"/>
      <c r="G534" s="113"/>
      <c r="H534" s="39"/>
      <c r="I534" s="114"/>
      <c r="J534" s="154"/>
      <c r="K534" s="49"/>
      <c r="L534" s="49"/>
      <c r="M534" s="49"/>
      <c r="N534" s="49"/>
      <c r="O534" s="49"/>
      <c r="P534" s="49"/>
      <c r="Q534" s="49"/>
      <c r="R534" s="49"/>
    </row>
    <row r="535" spans="1:18" x14ac:dyDescent="0.25">
      <c r="A535" s="49"/>
      <c r="B535" s="103"/>
      <c r="C535" s="49"/>
      <c r="D535" s="49"/>
      <c r="E535" s="49"/>
      <c r="F535" s="112"/>
      <c r="G535" s="113"/>
      <c r="H535" s="39"/>
      <c r="I535" s="114"/>
      <c r="J535" s="154"/>
      <c r="K535" s="49"/>
      <c r="L535" s="49"/>
      <c r="M535" s="49"/>
      <c r="N535" s="49"/>
      <c r="O535" s="49"/>
      <c r="P535" s="49"/>
      <c r="Q535" s="49"/>
      <c r="R535" s="49"/>
    </row>
    <row r="536" spans="1:18" x14ac:dyDescent="0.25">
      <c r="A536" s="49"/>
      <c r="B536" s="103"/>
      <c r="C536" s="49"/>
      <c r="D536" s="49"/>
      <c r="E536" s="49"/>
      <c r="F536" s="112"/>
      <c r="G536" s="113"/>
      <c r="H536" s="39"/>
      <c r="I536" s="114"/>
      <c r="J536" s="154"/>
      <c r="K536" s="49"/>
      <c r="L536" s="49"/>
      <c r="M536" s="49"/>
      <c r="N536" s="49"/>
      <c r="O536" s="49"/>
      <c r="P536" s="49"/>
      <c r="Q536" s="49"/>
      <c r="R536" s="49"/>
    </row>
    <row r="537" spans="1:18" x14ac:dyDescent="0.25">
      <c r="A537" s="49"/>
      <c r="B537" s="103"/>
      <c r="C537" s="49"/>
      <c r="D537" s="49"/>
      <c r="E537" s="49"/>
      <c r="F537" s="112"/>
      <c r="G537" s="113"/>
      <c r="H537" s="39"/>
      <c r="I537" s="303"/>
      <c r="J537" s="154"/>
      <c r="K537" s="49"/>
      <c r="L537" s="49"/>
      <c r="M537" s="49"/>
      <c r="N537" s="49"/>
      <c r="O537" s="49"/>
      <c r="P537" s="49"/>
      <c r="Q537" s="49"/>
      <c r="R537" s="49"/>
    </row>
    <row r="538" spans="1:18" x14ac:dyDescent="0.25">
      <c r="A538" s="49"/>
      <c r="B538" s="103"/>
      <c r="C538" s="49"/>
      <c r="D538" s="49"/>
      <c r="E538" s="49"/>
      <c r="F538" s="112"/>
      <c r="G538" s="113"/>
      <c r="H538" s="39"/>
      <c r="I538" s="114"/>
      <c r="J538" s="154"/>
      <c r="K538" s="49"/>
      <c r="L538" s="49"/>
      <c r="M538" s="49"/>
      <c r="N538" s="49"/>
      <c r="O538" s="49"/>
      <c r="P538" s="49"/>
      <c r="Q538" s="49"/>
      <c r="R538" s="49"/>
    </row>
    <row r="539" spans="1:18" x14ac:dyDescent="0.25">
      <c r="A539" s="49"/>
      <c r="B539" s="103"/>
      <c r="C539" s="49"/>
      <c r="D539" s="49"/>
      <c r="E539" s="49"/>
      <c r="F539" s="112"/>
      <c r="G539" s="113"/>
      <c r="H539" s="39"/>
      <c r="I539" s="114"/>
      <c r="J539" s="154"/>
      <c r="K539" s="49"/>
      <c r="L539" s="49"/>
      <c r="M539" s="49"/>
      <c r="N539" s="49"/>
      <c r="O539" s="49"/>
      <c r="P539" s="49"/>
      <c r="Q539" s="49"/>
      <c r="R539" s="49"/>
    </row>
    <row r="540" spans="1:18" x14ac:dyDescent="0.25">
      <c r="A540" s="49"/>
      <c r="B540" s="103"/>
      <c r="C540" s="49"/>
      <c r="D540" s="49"/>
      <c r="E540" s="49"/>
      <c r="F540" s="112"/>
      <c r="G540" s="113"/>
      <c r="H540" s="39"/>
      <c r="I540" s="114"/>
      <c r="J540" s="154"/>
      <c r="K540" s="49"/>
      <c r="L540" s="49"/>
      <c r="M540" s="49"/>
      <c r="N540" s="49"/>
      <c r="O540" s="49"/>
      <c r="P540" s="49"/>
      <c r="Q540" s="49"/>
      <c r="R540" s="49"/>
    </row>
    <row r="541" spans="1:18" x14ac:dyDescent="0.25">
      <c r="A541" s="49"/>
      <c r="B541" s="103"/>
      <c r="C541" s="49"/>
      <c r="D541" s="49"/>
      <c r="E541" s="49"/>
      <c r="F541" s="112"/>
      <c r="G541" s="113"/>
      <c r="H541" s="39"/>
      <c r="I541" s="114"/>
      <c r="J541" s="154"/>
      <c r="K541" s="49"/>
      <c r="L541" s="49"/>
      <c r="M541" s="49"/>
      <c r="N541" s="49"/>
      <c r="O541" s="49"/>
      <c r="P541" s="49"/>
      <c r="Q541" s="49"/>
      <c r="R541" s="49"/>
    </row>
    <row r="542" spans="1:18" x14ac:dyDescent="0.25">
      <c r="A542" s="101"/>
      <c r="B542" s="166"/>
      <c r="C542" s="101"/>
      <c r="D542" s="101"/>
      <c r="E542" s="49"/>
      <c r="F542" s="168"/>
      <c r="G542" s="169"/>
      <c r="H542" s="170"/>
      <c r="I542" s="114"/>
      <c r="J542" s="303"/>
      <c r="K542" s="49"/>
      <c r="L542" s="49"/>
      <c r="M542" s="49"/>
      <c r="N542" s="49"/>
      <c r="O542" s="49"/>
      <c r="P542" s="49"/>
      <c r="Q542" s="49"/>
      <c r="R542" s="49"/>
    </row>
    <row r="543" spans="1:18" x14ac:dyDescent="0.25">
      <c r="A543" s="101"/>
      <c r="B543" s="166"/>
      <c r="C543" s="101"/>
      <c r="D543" s="101"/>
      <c r="E543" s="49"/>
      <c r="F543" s="168"/>
      <c r="G543" s="169"/>
      <c r="H543" s="170"/>
      <c r="I543" s="114"/>
      <c r="J543" s="303"/>
      <c r="K543" s="49"/>
      <c r="L543" s="49"/>
      <c r="M543" s="49"/>
      <c r="N543" s="49"/>
      <c r="O543" s="49"/>
      <c r="P543" s="49"/>
      <c r="Q543" s="49"/>
      <c r="R543" s="49"/>
    </row>
    <row r="544" spans="1:18" x14ac:dyDescent="0.25">
      <c r="A544" s="101"/>
      <c r="B544" s="166"/>
      <c r="C544" s="101"/>
      <c r="D544" s="101"/>
      <c r="E544" s="49"/>
      <c r="F544" s="168"/>
      <c r="G544" s="169"/>
      <c r="H544" s="170"/>
      <c r="I544" s="114"/>
      <c r="J544" s="303"/>
      <c r="K544" s="49"/>
      <c r="L544" s="49"/>
      <c r="M544" s="49"/>
      <c r="N544" s="49"/>
      <c r="O544" s="49"/>
      <c r="P544" s="49"/>
      <c r="Q544" s="49"/>
      <c r="R544" s="49"/>
    </row>
    <row r="545" spans="1:18" x14ac:dyDescent="0.25">
      <c r="A545" s="49"/>
      <c r="B545" s="166"/>
      <c r="C545" s="49"/>
      <c r="D545" s="49"/>
      <c r="E545" s="49"/>
      <c r="F545" s="112"/>
      <c r="G545" s="113"/>
      <c r="H545" s="39"/>
      <c r="I545" s="114"/>
      <c r="J545" s="154"/>
      <c r="K545" s="49"/>
      <c r="L545" s="49"/>
      <c r="M545" s="49"/>
      <c r="N545" s="299"/>
      <c r="O545" s="49"/>
      <c r="P545" s="49"/>
      <c r="Q545" s="49"/>
      <c r="R545" s="49"/>
    </row>
    <row r="546" spans="1:18" x14ac:dyDescent="0.25">
      <c r="A546" s="49"/>
      <c r="B546" s="103"/>
      <c r="C546" s="49"/>
      <c r="D546" s="49"/>
      <c r="E546" s="49"/>
      <c r="F546" s="112"/>
      <c r="G546" s="113"/>
      <c r="H546" s="39"/>
      <c r="I546" s="114"/>
      <c r="J546" s="154"/>
      <c r="K546" s="49"/>
      <c r="L546" s="49"/>
      <c r="M546" s="49"/>
      <c r="N546" s="49"/>
      <c r="O546" s="49"/>
      <c r="P546" s="49"/>
      <c r="Q546" s="49"/>
      <c r="R546" s="49"/>
    </row>
    <row r="547" spans="1:18" x14ac:dyDescent="0.25">
      <c r="A547" s="49"/>
      <c r="B547" s="103"/>
      <c r="C547" s="49"/>
      <c r="D547" s="49"/>
      <c r="E547" s="49"/>
      <c r="F547" s="112"/>
      <c r="G547" s="113"/>
      <c r="H547" s="39"/>
      <c r="I547" s="114"/>
      <c r="J547" s="154"/>
      <c r="K547" s="49"/>
      <c r="L547" s="49"/>
      <c r="M547" s="49"/>
      <c r="N547" s="49"/>
      <c r="O547" s="49"/>
      <c r="P547" s="49"/>
      <c r="Q547" s="49"/>
      <c r="R547" s="49"/>
    </row>
    <row r="548" spans="1:18" x14ac:dyDescent="0.25">
      <c r="A548" s="49"/>
      <c r="B548" s="103"/>
      <c r="C548" s="49"/>
      <c r="D548" s="49"/>
      <c r="E548" s="101"/>
      <c r="F548" s="112"/>
      <c r="G548" s="113"/>
      <c r="H548" s="39"/>
      <c r="I548" s="114"/>
      <c r="J548" s="154"/>
      <c r="K548" s="49"/>
      <c r="L548" s="49"/>
      <c r="M548" s="49"/>
      <c r="N548" s="49"/>
      <c r="O548" s="49"/>
      <c r="P548" s="49"/>
      <c r="Q548" s="49"/>
      <c r="R548" s="49"/>
    </row>
    <row r="549" spans="1:18" x14ac:dyDescent="0.25">
      <c r="A549" s="101"/>
      <c r="B549" s="166"/>
      <c r="C549" s="101"/>
      <c r="D549" s="101"/>
      <c r="E549" s="101"/>
      <c r="F549" s="168"/>
      <c r="G549" s="169"/>
      <c r="H549" s="170"/>
      <c r="I549" s="114"/>
      <c r="J549" s="303"/>
      <c r="K549" s="49"/>
      <c r="L549" s="49"/>
      <c r="M549" s="49"/>
      <c r="N549" s="49"/>
      <c r="O549" s="49"/>
      <c r="P549" s="49"/>
      <c r="Q549" s="49"/>
      <c r="R549" s="49"/>
    </row>
    <row r="550" spans="1:18" x14ac:dyDescent="0.25">
      <c r="A550" s="49"/>
      <c r="B550" s="103"/>
      <c r="C550" s="49"/>
      <c r="D550" s="49"/>
      <c r="E550" s="101"/>
      <c r="F550" s="112"/>
      <c r="G550" s="113"/>
      <c r="H550" s="39"/>
      <c r="I550" s="114"/>
      <c r="J550" s="154"/>
      <c r="K550" s="49"/>
      <c r="L550" s="49"/>
      <c r="M550" s="49"/>
      <c r="N550" s="49"/>
      <c r="O550" s="49"/>
      <c r="P550" s="49"/>
      <c r="Q550" s="49"/>
      <c r="R550" s="49"/>
    </row>
    <row r="551" spans="1:18" x14ac:dyDescent="0.25">
      <c r="A551" s="49"/>
      <c r="B551" s="103"/>
      <c r="C551" s="49"/>
      <c r="D551" s="49"/>
      <c r="E551" s="49"/>
      <c r="F551" s="112"/>
      <c r="G551" s="113"/>
      <c r="H551" s="39"/>
      <c r="I551" s="114"/>
      <c r="J551" s="154"/>
      <c r="K551" s="49"/>
      <c r="L551" s="49"/>
      <c r="M551" s="49"/>
      <c r="N551" s="49"/>
      <c r="O551" s="49"/>
      <c r="P551" s="49"/>
      <c r="Q551" s="49"/>
      <c r="R551" s="49"/>
    </row>
    <row r="552" spans="1:18" x14ac:dyDescent="0.25">
      <c r="A552" s="49"/>
      <c r="B552" s="103"/>
      <c r="C552" s="49"/>
      <c r="D552" s="49"/>
      <c r="E552" s="49"/>
      <c r="F552" s="112"/>
      <c r="G552" s="113"/>
      <c r="H552" s="39"/>
      <c r="I552" s="114"/>
      <c r="J552" s="303"/>
      <c r="K552" s="49"/>
      <c r="L552" s="49"/>
      <c r="M552" s="49"/>
      <c r="N552" s="49"/>
      <c r="O552" s="49"/>
      <c r="P552" s="49"/>
      <c r="Q552" s="49"/>
      <c r="R552" s="49"/>
    </row>
    <row r="553" spans="1:18" x14ac:dyDescent="0.25">
      <c r="A553" s="49"/>
      <c r="B553" s="103"/>
      <c r="C553" s="49"/>
      <c r="D553" s="49"/>
      <c r="E553" s="49"/>
      <c r="F553" s="112"/>
      <c r="G553" s="113"/>
      <c r="H553" s="39"/>
      <c r="I553" s="114"/>
      <c r="J553" s="154"/>
      <c r="K553" s="49"/>
      <c r="L553" s="49"/>
      <c r="M553" s="49"/>
      <c r="N553" s="49"/>
      <c r="O553" s="49"/>
      <c r="P553" s="49"/>
      <c r="Q553" s="49"/>
      <c r="R553" s="49"/>
    </row>
    <row r="554" spans="1:18" x14ac:dyDescent="0.25">
      <c r="A554" s="49"/>
      <c r="B554" s="103"/>
      <c r="C554" s="49"/>
      <c r="D554" s="49"/>
      <c r="E554" s="49"/>
      <c r="F554" s="112"/>
      <c r="G554" s="113"/>
      <c r="H554" s="39"/>
      <c r="I554" s="114"/>
      <c r="J554" s="303"/>
      <c r="K554" s="49"/>
      <c r="L554" s="49"/>
      <c r="M554" s="49"/>
      <c r="N554" s="49"/>
      <c r="O554" s="49"/>
      <c r="P554" s="49"/>
      <c r="Q554" s="49"/>
      <c r="R554" s="49"/>
    </row>
    <row r="555" spans="1:18" x14ac:dyDescent="0.25">
      <c r="A555" s="49"/>
      <c r="B555" s="103"/>
      <c r="C555" s="49"/>
      <c r="D555" s="49"/>
      <c r="E555" s="101"/>
      <c r="F555" s="112"/>
      <c r="G555" s="113"/>
      <c r="H555" s="39"/>
      <c r="I555" s="114"/>
      <c r="J555" s="154"/>
      <c r="K555" s="49"/>
      <c r="L555" s="49"/>
      <c r="M555" s="49"/>
      <c r="N555" s="49"/>
      <c r="O555" s="49"/>
      <c r="P555" s="49"/>
      <c r="Q555" s="49"/>
      <c r="R555" s="49"/>
    </row>
    <row r="556" spans="1:18" x14ac:dyDescent="0.25">
      <c r="A556" s="49"/>
      <c r="B556" s="103"/>
      <c r="C556" s="49"/>
      <c r="D556" s="49"/>
      <c r="E556" s="49"/>
      <c r="F556" s="112"/>
      <c r="G556" s="113"/>
      <c r="H556" s="39"/>
      <c r="I556" s="114"/>
      <c r="J556" s="154"/>
      <c r="K556" s="49"/>
      <c r="L556" s="49"/>
      <c r="M556" s="49"/>
      <c r="N556" s="49"/>
      <c r="O556" s="49"/>
      <c r="P556" s="49"/>
      <c r="Q556" s="49"/>
      <c r="R556" s="49"/>
    </row>
    <row r="557" spans="1:18" x14ac:dyDescent="0.25">
      <c r="A557" s="49"/>
      <c r="B557" s="103"/>
      <c r="C557" s="49"/>
      <c r="D557" s="49"/>
      <c r="E557" s="49"/>
      <c r="F557" s="112"/>
      <c r="G557" s="113"/>
      <c r="H557" s="39"/>
      <c r="I557" s="114"/>
      <c r="J557" s="154"/>
      <c r="K557" s="49"/>
      <c r="L557" s="49"/>
      <c r="M557" s="49"/>
      <c r="N557" s="49"/>
      <c r="O557" s="49"/>
      <c r="P557" s="49"/>
      <c r="Q557" s="49"/>
      <c r="R557" s="49"/>
    </row>
    <row r="558" spans="1:18" x14ac:dyDescent="0.25">
      <c r="A558" s="49"/>
      <c r="B558" s="103"/>
      <c r="C558" s="49"/>
      <c r="D558" s="49"/>
      <c r="E558" s="49"/>
      <c r="F558" s="112"/>
      <c r="G558" s="113"/>
      <c r="H558" s="39"/>
      <c r="I558" s="114"/>
      <c r="J558" s="154"/>
      <c r="K558" s="49"/>
      <c r="L558" s="49"/>
      <c r="M558" s="49"/>
      <c r="N558" s="49"/>
      <c r="O558" s="49"/>
      <c r="P558" s="49"/>
      <c r="Q558" s="49"/>
      <c r="R558" s="49"/>
    </row>
    <row r="559" spans="1:18" x14ac:dyDescent="0.25">
      <c r="A559" s="49"/>
      <c r="B559" s="103"/>
      <c r="C559" s="49"/>
      <c r="D559" s="49"/>
      <c r="E559" s="49"/>
      <c r="F559" s="112"/>
      <c r="G559" s="113"/>
      <c r="H559" s="39"/>
      <c r="I559" s="114"/>
      <c r="J559" s="154"/>
      <c r="K559" s="49"/>
      <c r="L559" s="49"/>
      <c r="M559" s="49"/>
      <c r="N559" s="49"/>
      <c r="O559" s="49"/>
      <c r="P559" s="49"/>
      <c r="Q559" s="49"/>
      <c r="R559" s="49"/>
    </row>
    <row r="560" spans="1:18" x14ac:dyDescent="0.25">
      <c r="A560" s="49"/>
      <c r="B560" s="103"/>
      <c r="C560" s="49"/>
      <c r="D560" s="49"/>
      <c r="E560" s="49"/>
      <c r="F560" s="112"/>
      <c r="G560" s="113"/>
      <c r="H560" s="39"/>
      <c r="I560" s="114"/>
      <c r="J560" s="154"/>
      <c r="K560" s="49"/>
      <c r="L560" s="49"/>
      <c r="M560" s="49"/>
      <c r="N560" s="49"/>
      <c r="O560" s="49"/>
      <c r="P560" s="49"/>
      <c r="Q560" s="49"/>
      <c r="R560" s="49"/>
    </row>
    <row r="561" spans="1:18" x14ac:dyDescent="0.25">
      <c r="A561" s="49"/>
      <c r="B561" s="103"/>
      <c r="C561" s="49"/>
      <c r="D561" s="49"/>
      <c r="E561" s="49"/>
      <c r="F561" s="112"/>
      <c r="G561" s="113"/>
      <c r="H561" s="39"/>
      <c r="I561" s="114"/>
      <c r="J561" s="154"/>
      <c r="K561" s="49"/>
      <c r="L561" s="49"/>
      <c r="M561" s="49"/>
      <c r="N561" s="49"/>
      <c r="O561" s="49"/>
      <c r="P561" s="49"/>
      <c r="Q561" s="49"/>
      <c r="R561" s="49"/>
    </row>
    <row r="562" spans="1:18" x14ac:dyDescent="0.25">
      <c r="A562" s="49"/>
      <c r="B562" s="103"/>
      <c r="C562" s="49"/>
      <c r="D562" s="49"/>
      <c r="E562" s="49"/>
      <c r="F562" s="112"/>
      <c r="G562" s="113"/>
      <c r="H562" s="39"/>
      <c r="I562" s="114"/>
      <c r="J562" s="154"/>
      <c r="K562" s="49"/>
      <c r="L562" s="49"/>
      <c r="M562" s="49"/>
      <c r="N562" s="49"/>
      <c r="O562" s="49"/>
      <c r="P562" s="49"/>
      <c r="Q562" s="49"/>
      <c r="R562" s="49"/>
    </row>
    <row r="563" spans="1:18" x14ac:dyDescent="0.25">
      <c r="A563" s="49"/>
      <c r="B563" s="103"/>
      <c r="C563" s="49"/>
      <c r="D563" s="49"/>
      <c r="E563" s="49"/>
      <c r="F563" s="112"/>
      <c r="G563" s="113"/>
      <c r="H563" s="39"/>
      <c r="I563" s="114"/>
      <c r="J563" s="154"/>
      <c r="K563" s="49"/>
      <c r="L563" s="49"/>
      <c r="M563" s="49"/>
      <c r="N563" s="49"/>
      <c r="O563" s="49"/>
      <c r="P563" s="49"/>
      <c r="Q563" s="49"/>
      <c r="R563" s="49"/>
    </row>
    <row r="564" spans="1:18" x14ac:dyDescent="0.25">
      <c r="A564" s="49"/>
      <c r="B564" s="103"/>
      <c r="C564" s="49"/>
      <c r="D564" s="49"/>
      <c r="E564" s="49"/>
      <c r="F564" s="112"/>
      <c r="G564" s="113"/>
      <c r="H564" s="39"/>
      <c r="I564" s="114"/>
      <c r="J564" s="154"/>
      <c r="K564" s="49"/>
      <c r="L564" s="49"/>
      <c r="M564" s="49"/>
      <c r="N564" s="49"/>
      <c r="O564" s="49"/>
      <c r="P564" s="49"/>
      <c r="Q564" s="49"/>
      <c r="R564" s="299"/>
    </row>
    <row r="565" spans="1:18" x14ac:dyDescent="0.25">
      <c r="A565" s="49"/>
      <c r="B565" s="103"/>
      <c r="C565" s="49"/>
      <c r="D565" s="49"/>
      <c r="E565" s="49"/>
      <c r="F565" s="112"/>
      <c r="G565" s="113"/>
      <c r="H565" s="39"/>
      <c r="I565" s="114"/>
      <c r="J565" s="154"/>
      <c r="K565" s="49"/>
      <c r="L565" s="49"/>
      <c r="M565" s="49"/>
      <c r="N565" s="49"/>
      <c r="O565" s="49"/>
      <c r="P565" s="49"/>
      <c r="Q565" s="49"/>
      <c r="R565" s="49"/>
    </row>
    <row r="566" spans="1:18" x14ac:dyDescent="0.25">
      <c r="A566" s="49"/>
      <c r="B566" s="103"/>
      <c r="C566" s="49"/>
      <c r="D566" s="49"/>
      <c r="E566" s="49"/>
      <c r="F566" s="112"/>
      <c r="G566" s="113"/>
      <c r="H566" s="39"/>
      <c r="I566" s="114"/>
      <c r="J566" s="154"/>
      <c r="K566" s="49"/>
      <c r="L566" s="49"/>
      <c r="M566" s="49"/>
      <c r="N566" s="49"/>
      <c r="O566" s="49"/>
      <c r="P566" s="49"/>
      <c r="Q566" s="49"/>
      <c r="R566" s="49"/>
    </row>
    <row r="567" spans="1:18" x14ac:dyDescent="0.25">
      <c r="A567" s="49"/>
      <c r="B567" s="103"/>
      <c r="C567" s="49"/>
      <c r="D567" s="49"/>
      <c r="E567" s="49"/>
      <c r="F567" s="112"/>
      <c r="G567" s="113"/>
      <c r="H567" s="39"/>
      <c r="I567" s="114"/>
      <c r="J567" s="154"/>
      <c r="K567" s="49"/>
      <c r="L567" s="49"/>
      <c r="M567" s="49"/>
      <c r="N567" s="49"/>
      <c r="O567" s="49"/>
      <c r="P567" s="49"/>
      <c r="Q567" s="49"/>
      <c r="R567" s="49"/>
    </row>
    <row r="568" spans="1:18" x14ac:dyDescent="0.25">
      <c r="A568" s="49"/>
      <c r="B568" s="103"/>
      <c r="C568" s="49"/>
      <c r="D568" s="49"/>
      <c r="E568" s="49"/>
      <c r="F568" s="112"/>
      <c r="G568" s="113"/>
      <c r="H568" s="39"/>
      <c r="I568" s="114"/>
      <c r="J568" s="154"/>
      <c r="K568" s="49"/>
      <c r="L568" s="49"/>
      <c r="M568" s="49"/>
      <c r="N568" s="49"/>
      <c r="O568" s="49"/>
      <c r="P568" s="49"/>
      <c r="Q568" s="49"/>
      <c r="R568" s="49"/>
    </row>
    <row r="569" spans="1:18" x14ac:dyDescent="0.25">
      <c r="A569" s="49"/>
      <c r="B569" s="103"/>
      <c r="C569" s="49"/>
      <c r="D569" s="49"/>
      <c r="E569" s="49"/>
      <c r="F569" s="112"/>
      <c r="G569" s="113"/>
      <c r="H569" s="39"/>
      <c r="I569" s="114"/>
      <c r="J569" s="154"/>
      <c r="K569" s="49"/>
      <c r="L569" s="49"/>
      <c r="M569" s="49"/>
      <c r="N569" s="49"/>
      <c r="O569" s="49"/>
      <c r="P569" s="49"/>
      <c r="Q569" s="49"/>
      <c r="R569" s="49"/>
    </row>
    <row r="570" spans="1:18" x14ac:dyDescent="0.25">
      <c r="A570" s="49"/>
      <c r="B570" s="103"/>
      <c r="C570" s="49"/>
      <c r="D570" s="49"/>
      <c r="E570" s="49"/>
      <c r="F570" s="112"/>
      <c r="G570" s="113"/>
      <c r="H570" s="39"/>
      <c r="I570" s="114"/>
      <c r="J570" s="154"/>
      <c r="K570" s="49"/>
      <c r="L570" s="49"/>
      <c r="M570" s="49"/>
      <c r="N570" s="49"/>
      <c r="O570" s="49"/>
      <c r="P570" s="49"/>
      <c r="Q570" s="49"/>
      <c r="R570" s="49"/>
    </row>
    <row r="571" spans="1:18" x14ac:dyDescent="0.25">
      <c r="A571" s="49"/>
      <c r="B571" s="103"/>
      <c r="C571" s="49"/>
      <c r="D571" s="49"/>
      <c r="E571" s="49"/>
      <c r="F571" s="112"/>
      <c r="G571" s="113"/>
      <c r="H571" s="39"/>
      <c r="I571" s="114"/>
      <c r="J571" s="154"/>
      <c r="K571" s="49"/>
      <c r="L571" s="49"/>
      <c r="M571" s="49"/>
      <c r="N571" s="49"/>
      <c r="O571" s="49"/>
      <c r="P571" s="49"/>
      <c r="Q571" s="49"/>
      <c r="R571" s="49"/>
    </row>
    <row r="572" spans="1:18" x14ac:dyDescent="0.25">
      <c r="A572" s="101"/>
      <c r="B572" s="166"/>
      <c r="C572" s="101"/>
      <c r="D572" s="101"/>
      <c r="E572" s="49"/>
      <c r="F572" s="168"/>
      <c r="G572" s="169"/>
      <c r="H572" s="170"/>
      <c r="I572" s="114"/>
      <c r="J572" s="49"/>
      <c r="K572" s="49"/>
      <c r="L572" s="49"/>
      <c r="M572" s="49"/>
      <c r="N572" s="49"/>
      <c r="O572" s="49"/>
      <c r="P572" s="49"/>
      <c r="Q572" s="49"/>
      <c r="R572" s="49"/>
    </row>
    <row r="573" spans="1:18" x14ac:dyDescent="0.25">
      <c r="A573" s="101"/>
      <c r="B573" s="166"/>
      <c r="C573" s="101"/>
      <c r="D573" s="101"/>
      <c r="E573" s="49"/>
      <c r="F573" s="168"/>
      <c r="G573" s="169"/>
      <c r="H573" s="170"/>
      <c r="I573" s="114"/>
      <c r="J573" s="49"/>
      <c r="K573" s="49"/>
      <c r="L573" s="49"/>
      <c r="M573" s="49"/>
      <c r="N573" s="49"/>
      <c r="O573" s="49"/>
      <c r="P573" s="49"/>
      <c r="Q573" s="49"/>
      <c r="R573" s="49"/>
    </row>
    <row r="574" spans="1:18" x14ac:dyDescent="0.25">
      <c r="A574" s="101"/>
      <c r="B574" s="166"/>
      <c r="C574" s="101"/>
      <c r="D574" s="101"/>
      <c r="E574" s="49"/>
      <c r="F574" s="168"/>
      <c r="G574" s="169"/>
      <c r="H574" s="170"/>
      <c r="I574" s="114"/>
      <c r="J574" s="49"/>
      <c r="K574" s="49"/>
      <c r="L574" s="49"/>
      <c r="M574" s="49"/>
      <c r="N574" s="49"/>
      <c r="O574" s="49"/>
      <c r="P574" s="49"/>
      <c r="Q574" s="49"/>
      <c r="R574" s="49"/>
    </row>
    <row r="575" spans="1:18" x14ac:dyDescent="0.25">
      <c r="A575" s="101"/>
      <c r="B575" s="166"/>
      <c r="C575" s="101"/>
      <c r="D575" s="101"/>
      <c r="E575" s="49"/>
      <c r="F575" s="168"/>
      <c r="G575" s="169"/>
      <c r="H575" s="170"/>
      <c r="I575" s="114"/>
      <c r="J575" s="303"/>
      <c r="K575" s="49"/>
      <c r="L575" s="49"/>
      <c r="M575" s="49"/>
      <c r="N575" s="49"/>
      <c r="O575" s="49"/>
      <c r="P575" s="49"/>
      <c r="Q575" s="49"/>
      <c r="R575" s="49"/>
    </row>
    <row r="576" spans="1:18" x14ac:dyDescent="0.25">
      <c r="A576" s="101"/>
      <c r="B576" s="166"/>
      <c r="C576" s="101"/>
      <c r="D576" s="326"/>
      <c r="E576" s="49"/>
      <c r="F576" s="200"/>
      <c r="G576" s="169"/>
      <c r="H576" s="170"/>
      <c r="I576" s="114"/>
      <c r="J576" s="298"/>
      <c r="K576" s="49"/>
      <c r="L576" s="49"/>
      <c r="M576" s="49"/>
      <c r="N576" s="49"/>
      <c r="O576" s="49"/>
      <c r="P576" s="49"/>
      <c r="Q576" s="49"/>
      <c r="R576" s="49"/>
    </row>
    <row r="577" spans="1:18" x14ac:dyDescent="0.25">
      <c r="A577" s="101"/>
      <c r="B577" s="166"/>
      <c r="C577" s="101"/>
      <c r="D577" s="326"/>
      <c r="E577" s="49"/>
      <c r="F577" s="200"/>
      <c r="G577" s="169"/>
      <c r="H577" s="170"/>
      <c r="I577" s="114"/>
      <c r="J577" s="154"/>
      <c r="K577" s="49"/>
      <c r="L577" s="49"/>
      <c r="M577" s="49"/>
      <c r="N577" s="49"/>
      <c r="O577" s="49"/>
      <c r="P577" s="49"/>
      <c r="Q577" s="49"/>
      <c r="R577" s="49"/>
    </row>
    <row r="578" spans="1:18" x14ac:dyDescent="0.25">
      <c r="A578" s="101"/>
      <c r="B578" s="166"/>
      <c r="C578" s="101"/>
      <c r="D578" s="326"/>
      <c r="E578" s="101"/>
      <c r="F578" s="200"/>
      <c r="G578" s="169"/>
      <c r="H578" s="170"/>
      <c r="I578" s="114"/>
      <c r="J578" s="154"/>
      <c r="K578" s="49"/>
      <c r="L578" s="49"/>
      <c r="M578" s="49"/>
      <c r="N578" s="49"/>
      <c r="O578" s="49"/>
      <c r="P578" s="49"/>
      <c r="Q578" s="49"/>
      <c r="R578" s="49"/>
    </row>
    <row r="579" spans="1:18" x14ac:dyDescent="0.25">
      <c r="A579" s="101"/>
      <c r="B579" s="166"/>
      <c r="C579" s="101"/>
      <c r="D579" s="326"/>
      <c r="E579" s="101"/>
      <c r="F579" s="200"/>
      <c r="G579" s="169"/>
      <c r="H579" s="170"/>
      <c r="I579" s="114"/>
      <c r="J579" s="154"/>
      <c r="K579" s="49"/>
      <c r="L579" s="49"/>
      <c r="M579" s="49"/>
      <c r="N579" s="49"/>
      <c r="O579" s="49"/>
      <c r="P579" s="49"/>
      <c r="Q579" s="49"/>
      <c r="R579" s="49"/>
    </row>
    <row r="580" spans="1:18" x14ac:dyDescent="0.25">
      <c r="A580" s="101"/>
      <c r="B580" s="166"/>
      <c r="C580" s="101"/>
      <c r="D580" s="326"/>
      <c r="E580" s="101"/>
      <c r="F580" s="200"/>
      <c r="G580" s="49"/>
      <c r="H580" s="170"/>
      <c r="I580" s="114"/>
      <c r="J580" s="154"/>
      <c r="K580" s="49"/>
      <c r="L580" s="49"/>
      <c r="M580" s="49"/>
      <c r="N580" s="49"/>
      <c r="O580" s="49"/>
      <c r="P580" s="49"/>
      <c r="Q580" s="49"/>
      <c r="R580" s="49"/>
    </row>
    <row r="581" spans="1:18" x14ac:dyDescent="0.25">
      <c r="A581" s="49"/>
      <c r="B581" s="103"/>
      <c r="C581" s="49"/>
      <c r="D581" s="74"/>
      <c r="E581" s="101"/>
      <c r="F581" s="112"/>
      <c r="G581" s="113"/>
      <c r="H581" s="39"/>
      <c r="I581" s="114"/>
      <c r="J581" s="154"/>
      <c r="K581" s="49"/>
      <c r="L581" s="49"/>
      <c r="M581" s="49"/>
      <c r="N581" s="49"/>
      <c r="O581" s="49"/>
      <c r="P581" s="49"/>
      <c r="Q581" s="49"/>
      <c r="R581" s="49"/>
    </row>
    <row r="582" spans="1:18" x14ac:dyDescent="0.25">
      <c r="A582" s="49"/>
      <c r="B582" s="103"/>
      <c r="C582" s="49"/>
      <c r="D582" s="74"/>
      <c r="E582" s="101"/>
      <c r="F582" s="112"/>
      <c r="G582" s="113"/>
      <c r="H582" s="39"/>
      <c r="I582" s="114"/>
      <c r="J582" s="154"/>
      <c r="K582" s="49"/>
      <c r="L582" s="49"/>
      <c r="M582" s="49"/>
      <c r="N582" s="49"/>
      <c r="O582" s="49"/>
      <c r="P582" s="49"/>
      <c r="Q582" s="49"/>
      <c r="R582" s="49"/>
    </row>
    <row r="583" spans="1:18" x14ac:dyDescent="0.25">
      <c r="A583" s="49"/>
      <c r="B583" s="103"/>
      <c r="C583" s="49"/>
      <c r="D583" s="74"/>
      <c r="E583" s="101"/>
      <c r="F583" s="112"/>
      <c r="G583" s="113"/>
      <c r="H583" s="39"/>
      <c r="I583" s="114"/>
      <c r="J583" s="154"/>
      <c r="K583" s="49"/>
      <c r="L583" s="49"/>
      <c r="M583" s="49"/>
      <c r="N583" s="49"/>
      <c r="O583" s="49"/>
      <c r="P583" s="49"/>
      <c r="Q583" s="49"/>
      <c r="R583" s="49"/>
    </row>
    <row r="584" spans="1:18" x14ac:dyDescent="0.25">
      <c r="A584" s="49"/>
      <c r="B584" s="103"/>
      <c r="C584" s="49"/>
      <c r="D584" s="74"/>
      <c r="E584" s="101"/>
      <c r="F584" s="112"/>
      <c r="G584" s="113"/>
      <c r="H584" s="39"/>
      <c r="I584" s="114"/>
      <c r="J584" s="154"/>
      <c r="K584" s="49"/>
      <c r="L584" s="49"/>
      <c r="M584" s="49"/>
      <c r="N584" s="49"/>
      <c r="O584" s="299"/>
      <c r="P584" s="49"/>
      <c r="Q584" s="49"/>
      <c r="R584" s="49"/>
    </row>
    <row r="585" spans="1:18" x14ac:dyDescent="0.25">
      <c r="A585" s="49"/>
      <c r="B585" s="103"/>
      <c r="C585" s="49"/>
      <c r="D585" s="74"/>
      <c r="E585" s="101"/>
      <c r="F585" s="112"/>
      <c r="G585" s="113"/>
      <c r="H585" s="39"/>
      <c r="I585" s="114"/>
      <c r="J585" s="154"/>
      <c r="K585" s="49"/>
      <c r="L585" s="49"/>
      <c r="M585" s="49"/>
      <c r="N585" s="49"/>
      <c r="O585" s="49"/>
      <c r="P585" s="49"/>
      <c r="Q585" s="49"/>
      <c r="R585" s="49"/>
    </row>
    <row r="586" spans="1:18" x14ac:dyDescent="0.25">
      <c r="A586" s="49"/>
      <c r="B586" s="103"/>
      <c r="C586" s="49"/>
      <c r="D586" s="74"/>
      <c r="E586" s="101"/>
      <c r="F586" s="112"/>
      <c r="G586" s="113"/>
      <c r="H586" s="39"/>
      <c r="I586" s="114"/>
      <c r="J586" s="154"/>
      <c r="K586" s="49"/>
      <c r="L586" s="49"/>
      <c r="M586" s="49"/>
      <c r="N586" s="49"/>
      <c r="O586" s="49"/>
      <c r="P586" s="49"/>
      <c r="Q586" s="49"/>
      <c r="R586" s="49"/>
    </row>
    <row r="587" spans="1:18" x14ac:dyDescent="0.25">
      <c r="A587" s="101"/>
      <c r="B587" s="166"/>
      <c r="C587" s="101"/>
      <c r="D587" s="49"/>
      <c r="E587" s="49"/>
      <c r="F587" s="154"/>
      <c r="G587" s="113"/>
      <c r="H587" s="39"/>
      <c r="I587" s="114"/>
      <c r="J587" s="154"/>
      <c r="K587" s="49"/>
      <c r="L587" s="49"/>
      <c r="M587" s="49"/>
      <c r="N587" s="49"/>
      <c r="O587" s="49"/>
      <c r="P587" s="49"/>
      <c r="Q587" s="49"/>
      <c r="R587" s="49"/>
    </row>
    <row r="588" spans="1:18" x14ac:dyDescent="0.25">
      <c r="A588" s="101"/>
      <c r="B588" s="166"/>
      <c r="C588" s="101"/>
      <c r="D588" s="49"/>
      <c r="E588" s="49"/>
      <c r="F588" s="154"/>
      <c r="G588" s="113"/>
      <c r="H588" s="39"/>
      <c r="I588" s="114"/>
      <c r="J588" s="154"/>
      <c r="K588" s="49"/>
      <c r="L588" s="49"/>
      <c r="M588" s="49"/>
      <c r="N588" s="49"/>
      <c r="O588" s="49"/>
      <c r="P588" s="49"/>
      <c r="Q588" s="49"/>
      <c r="R588" s="49"/>
    </row>
    <row r="589" spans="1:18" x14ac:dyDescent="0.25">
      <c r="A589" s="101"/>
      <c r="B589" s="166"/>
      <c r="C589" s="101"/>
      <c r="D589" s="49"/>
      <c r="E589" s="49"/>
      <c r="F589" s="154"/>
      <c r="G589" s="113"/>
      <c r="H589" s="39"/>
      <c r="I589" s="114"/>
      <c r="J589" s="154"/>
      <c r="K589" s="49"/>
      <c r="L589" s="49"/>
      <c r="M589" s="49"/>
      <c r="N589" s="49"/>
      <c r="O589" s="49"/>
      <c r="P589" s="49"/>
      <c r="Q589" s="49"/>
      <c r="R589" s="49"/>
    </row>
    <row r="590" spans="1:18" x14ac:dyDescent="0.25">
      <c r="A590" s="49"/>
      <c r="B590" s="166"/>
      <c r="C590" s="101"/>
      <c r="D590" s="49"/>
      <c r="E590" s="49"/>
      <c r="F590" s="154"/>
      <c r="G590" s="113"/>
      <c r="H590" s="39"/>
      <c r="I590" s="114"/>
      <c r="J590" s="154"/>
      <c r="K590" s="49"/>
      <c r="L590" s="49"/>
      <c r="M590" s="49"/>
      <c r="N590" s="49"/>
      <c r="O590" s="49"/>
      <c r="P590" s="49"/>
      <c r="Q590" s="49"/>
      <c r="R590" s="49"/>
    </row>
    <row r="591" spans="1:18" x14ac:dyDescent="0.25">
      <c r="A591" s="101"/>
      <c r="B591" s="166"/>
      <c r="C591" s="101"/>
      <c r="D591" s="49"/>
      <c r="E591" s="49"/>
      <c r="F591" s="154"/>
      <c r="G591" s="113"/>
      <c r="H591" s="39"/>
      <c r="I591" s="114"/>
      <c r="J591" s="154"/>
      <c r="K591" s="49"/>
      <c r="L591" s="49"/>
      <c r="M591" s="49"/>
      <c r="N591" s="49"/>
      <c r="O591" s="49"/>
      <c r="P591" s="49"/>
      <c r="Q591" s="49"/>
      <c r="R591" s="49"/>
    </row>
    <row r="592" spans="1:18" x14ac:dyDescent="0.25">
      <c r="A592" s="101"/>
      <c r="B592" s="166"/>
      <c r="C592" s="101"/>
      <c r="D592" s="49"/>
      <c r="E592" s="49"/>
      <c r="F592" s="154"/>
      <c r="G592" s="113"/>
      <c r="H592" s="39"/>
      <c r="I592" s="114"/>
      <c r="J592" s="154"/>
      <c r="K592" s="49"/>
      <c r="L592" s="49"/>
      <c r="M592" s="49"/>
      <c r="N592" s="49"/>
      <c r="O592" s="49"/>
      <c r="P592" s="49"/>
      <c r="Q592" s="49"/>
      <c r="R592" s="49"/>
    </row>
    <row r="593" spans="1:18" x14ac:dyDescent="0.25">
      <c r="A593" s="101"/>
      <c r="B593" s="166"/>
      <c r="C593" s="101"/>
      <c r="D593" s="49"/>
      <c r="E593" s="49"/>
      <c r="F593" s="154"/>
      <c r="G593" s="113"/>
      <c r="H593" s="39"/>
      <c r="I593" s="114"/>
      <c r="J593" s="154"/>
      <c r="K593" s="49"/>
      <c r="L593" s="49"/>
      <c r="M593" s="49"/>
      <c r="N593" s="49"/>
      <c r="O593" s="49"/>
      <c r="P593" s="49"/>
      <c r="Q593" s="49"/>
      <c r="R593" s="49"/>
    </row>
    <row r="594" spans="1:18" x14ac:dyDescent="0.25">
      <c r="A594" s="101"/>
      <c r="B594" s="166"/>
      <c r="C594" s="101"/>
      <c r="D594" s="49"/>
      <c r="E594" s="49"/>
      <c r="F594" s="154"/>
      <c r="G594" s="113"/>
      <c r="H594" s="39"/>
      <c r="I594" s="114"/>
      <c r="J594" s="154"/>
      <c r="K594" s="49"/>
      <c r="L594" s="49"/>
      <c r="M594" s="49"/>
      <c r="N594" s="49"/>
      <c r="O594" s="49"/>
      <c r="P594" s="49"/>
      <c r="Q594" s="49"/>
      <c r="R594" s="49"/>
    </row>
    <row r="595" spans="1:18" x14ac:dyDescent="0.25">
      <c r="A595" s="49"/>
      <c r="B595" s="103"/>
      <c r="C595" s="49"/>
      <c r="D595" s="74"/>
      <c r="E595" s="49"/>
      <c r="F595" s="112"/>
      <c r="G595" s="113"/>
      <c r="H595" s="39"/>
      <c r="I595" s="114"/>
      <c r="J595" s="154"/>
      <c r="K595" s="49"/>
      <c r="L595" s="49"/>
      <c r="M595" s="49"/>
      <c r="N595" s="49"/>
      <c r="O595" s="49"/>
      <c r="P595" s="49"/>
      <c r="Q595" s="49"/>
      <c r="R595" s="49"/>
    </row>
    <row r="596" spans="1:18" x14ac:dyDescent="0.25">
      <c r="A596" s="101"/>
      <c r="B596" s="166"/>
      <c r="C596" s="101"/>
      <c r="D596" s="101"/>
      <c r="E596" s="49"/>
      <c r="F596" s="200"/>
      <c r="G596" s="169"/>
      <c r="H596" s="170"/>
      <c r="I596" s="114"/>
      <c r="J596" s="154"/>
      <c r="K596" s="49"/>
      <c r="L596" s="49"/>
      <c r="M596" s="49"/>
      <c r="N596" s="49"/>
      <c r="O596" s="49"/>
      <c r="P596" s="49"/>
      <c r="Q596" s="49"/>
      <c r="R596" s="49"/>
    </row>
    <row r="597" spans="1:18" x14ac:dyDescent="0.25">
      <c r="A597" s="101"/>
      <c r="B597" s="166"/>
      <c r="C597" s="101"/>
      <c r="D597" s="101"/>
      <c r="E597" s="49"/>
      <c r="F597" s="200"/>
      <c r="G597" s="169"/>
      <c r="H597" s="170"/>
      <c r="I597" s="114"/>
      <c r="J597" s="154"/>
      <c r="K597" s="49"/>
      <c r="L597" s="49"/>
      <c r="M597" s="49"/>
      <c r="N597" s="49"/>
      <c r="O597" s="49"/>
      <c r="P597" s="49"/>
      <c r="Q597" s="49"/>
      <c r="R597" s="49"/>
    </row>
    <row r="598" spans="1:18" x14ac:dyDescent="0.25">
      <c r="A598" s="101"/>
      <c r="B598" s="166"/>
      <c r="C598" s="101"/>
      <c r="D598" s="101"/>
      <c r="E598" s="49"/>
      <c r="F598" s="200"/>
      <c r="G598" s="169"/>
      <c r="H598" s="170"/>
      <c r="I598" s="114"/>
      <c r="J598" s="154"/>
      <c r="K598" s="49"/>
      <c r="L598" s="49"/>
      <c r="M598" s="49"/>
      <c r="N598" s="49"/>
      <c r="O598" s="49"/>
      <c r="P598" s="49"/>
      <c r="Q598" s="49"/>
      <c r="R598" s="49"/>
    </row>
    <row r="599" spans="1:18" x14ac:dyDescent="0.25">
      <c r="A599" s="101"/>
      <c r="B599" s="166"/>
      <c r="C599" s="101"/>
      <c r="D599" s="101"/>
      <c r="E599" s="49"/>
      <c r="F599" s="200"/>
      <c r="G599" s="169"/>
      <c r="H599" s="170"/>
      <c r="I599" s="114"/>
      <c r="J599" s="154"/>
      <c r="K599" s="49"/>
      <c r="L599" s="49"/>
      <c r="M599" s="49"/>
      <c r="N599" s="49"/>
      <c r="O599" s="49"/>
      <c r="P599" s="49"/>
      <c r="Q599" s="49"/>
      <c r="R599" s="49"/>
    </row>
    <row r="600" spans="1:18" x14ac:dyDescent="0.25">
      <c r="A600" s="101"/>
      <c r="B600" s="166"/>
      <c r="C600" s="101"/>
      <c r="D600" s="101"/>
      <c r="E600" s="49"/>
      <c r="F600" s="200"/>
      <c r="G600" s="169"/>
      <c r="H600" s="170"/>
      <c r="I600" s="114"/>
      <c r="J600" s="154"/>
      <c r="K600" s="49"/>
      <c r="L600" s="49"/>
      <c r="M600" s="49"/>
      <c r="N600" s="49"/>
      <c r="O600" s="49"/>
      <c r="P600" s="49"/>
      <c r="Q600" s="49"/>
      <c r="R600" s="49"/>
    </row>
    <row r="601" spans="1:18" x14ac:dyDescent="0.25">
      <c r="A601" s="49"/>
      <c r="B601" s="103"/>
      <c r="C601" s="101"/>
      <c r="D601" s="49"/>
      <c r="E601" s="49"/>
      <c r="F601" s="154"/>
      <c r="G601" s="113"/>
      <c r="H601" s="39"/>
      <c r="I601" s="114"/>
      <c r="J601" s="154"/>
      <c r="K601" s="49"/>
      <c r="L601" s="49"/>
      <c r="M601" s="49"/>
      <c r="N601" s="49"/>
      <c r="O601" s="49"/>
      <c r="P601" s="49"/>
      <c r="Q601" s="49"/>
      <c r="R601" s="49"/>
    </row>
    <row r="602" spans="1:18" x14ac:dyDescent="0.25">
      <c r="A602" s="49"/>
      <c r="B602" s="103"/>
      <c r="C602" s="101"/>
      <c r="D602" s="49"/>
      <c r="E602" s="101"/>
      <c r="F602" s="154"/>
      <c r="G602" s="113"/>
      <c r="H602" s="39"/>
      <c r="I602" s="114"/>
      <c r="J602" s="154"/>
      <c r="K602" s="49"/>
      <c r="L602" s="49"/>
      <c r="M602" s="49"/>
      <c r="N602" s="49"/>
      <c r="O602" s="49"/>
      <c r="P602" s="49"/>
      <c r="Q602" s="49"/>
      <c r="R602" s="49"/>
    </row>
    <row r="603" spans="1:18" x14ac:dyDescent="0.25">
      <c r="A603" s="49"/>
      <c r="B603" s="103"/>
      <c r="C603" s="101"/>
      <c r="D603" s="49"/>
      <c r="E603" s="101"/>
      <c r="F603" s="154"/>
      <c r="G603" s="113"/>
      <c r="H603" s="39"/>
      <c r="I603" s="114"/>
      <c r="J603" s="154"/>
      <c r="K603" s="49"/>
      <c r="L603" s="49"/>
      <c r="M603" s="49"/>
      <c r="N603" s="49"/>
      <c r="O603" s="49"/>
      <c r="P603" s="49"/>
      <c r="Q603" s="49"/>
      <c r="R603" s="49"/>
    </row>
    <row r="604" spans="1:18" x14ac:dyDescent="0.25">
      <c r="A604" s="49"/>
      <c r="B604" s="103"/>
      <c r="C604" s="101"/>
      <c r="D604" s="49"/>
      <c r="E604" s="101"/>
      <c r="F604" s="154"/>
      <c r="G604" s="113"/>
      <c r="H604" s="39"/>
      <c r="I604" s="114"/>
      <c r="J604" s="154"/>
      <c r="K604" s="49"/>
      <c r="L604" s="49"/>
      <c r="M604" s="49"/>
      <c r="N604" s="49"/>
      <c r="O604" s="49"/>
      <c r="P604" s="49"/>
      <c r="Q604" s="49"/>
      <c r="R604" s="49"/>
    </row>
    <row r="605" spans="1:18" x14ac:dyDescent="0.25">
      <c r="A605" s="101"/>
      <c r="B605" s="166"/>
      <c r="C605" s="101"/>
      <c r="D605" s="326"/>
      <c r="E605" s="101"/>
      <c r="F605" s="200"/>
      <c r="G605" s="113"/>
      <c r="H605" s="170"/>
      <c r="I605" s="114"/>
      <c r="J605" s="154"/>
      <c r="K605" s="49"/>
      <c r="L605" s="49"/>
      <c r="M605" s="49"/>
      <c r="N605" s="49"/>
      <c r="O605" s="49"/>
      <c r="P605" s="49"/>
      <c r="Q605" s="49"/>
      <c r="R605" s="49"/>
    </row>
    <row r="606" spans="1:18" x14ac:dyDescent="0.25">
      <c r="A606" s="101"/>
      <c r="B606" s="166"/>
      <c r="C606" s="101"/>
      <c r="D606" s="326"/>
      <c r="E606" s="101"/>
      <c r="F606" s="200"/>
      <c r="G606" s="113"/>
      <c r="H606" s="170"/>
      <c r="I606" s="114"/>
      <c r="J606" s="319"/>
      <c r="K606" s="49"/>
      <c r="L606" s="49"/>
      <c r="M606" s="49"/>
      <c r="N606" s="49"/>
      <c r="O606" s="299"/>
      <c r="P606" s="49"/>
      <c r="Q606" s="49"/>
      <c r="R606" s="298"/>
    </row>
    <row r="607" spans="1:18" x14ac:dyDescent="0.25">
      <c r="A607" s="101"/>
      <c r="B607" s="166"/>
      <c r="C607" s="101"/>
      <c r="D607" s="326"/>
      <c r="E607" s="49"/>
      <c r="F607" s="200"/>
      <c r="G607" s="113"/>
      <c r="H607" s="170"/>
      <c r="I607" s="114"/>
      <c r="J607" s="154"/>
      <c r="K607" s="49"/>
      <c r="L607" s="49"/>
      <c r="M607" s="49"/>
      <c r="N607" s="49"/>
      <c r="O607" s="49"/>
      <c r="P607" s="49"/>
      <c r="Q607" s="49"/>
      <c r="R607" s="49"/>
    </row>
    <row r="608" spans="1:18" x14ac:dyDescent="0.25">
      <c r="A608" s="101"/>
      <c r="B608" s="166"/>
      <c r="C608" s="101"/>
      <c r="D608" s="101"/>
      <c r="E608" s="49"/>
      <c r="F608" s="200"/>
      <c r="G608" s="169"/>
      <c r="H608" s="170"/>
      <c r="I608" s="114"/>
      <c r="J608" s="154"/>
      <c r="K608" s="49"/>
      <c r="L608" s="49"/>
      <c r="M608" s="49"/>
      <c r="N608" s="49"/>
      <c r="O608" s="49"/>
      <c r="P608" s="49"/>
      <c r="Q608" s="49"/>
      <c r="R608" s="49"/>
    </row>
    <row r="609" spans="1:18" x14ac:dyDescent="0.25">
      <c r="A609" s="49"/>
      <c r="B609" s="103"/>
      <c r="C609" s="299"/>
      <c r="D609" s="74"/>
      <c r="E609" s="49"/>
      <c r="F609" s="112"/>
      <c r="G609" s="113"/>
      <c r="H609" s="39"/>
      <c r="I609" s="114"/>
      <c r="J609" s="154"/>
      <c r="K609" s="49"/>
      <c r="L609" s="49"/>
      <c r="M609" s="49"/>
      <c r="N609" s="49"/>
      <c r="O609" s="327"/>
      <c r="P609" s="49"/>
      <c r="Q609" s="49"/>
      <c r="R609" s="49"/>
    </row>
    <row r="610" spans="1:18" x14ac:dyDescent="0.25">
      <c r="A610" s="101"/>
      <c r="B610" s="166"/>
      <c r="C610" s="101"/>
      <c r="D610" s="101"/>
      <c r="E610" s="49"/>
      <c r="F610" s="200"/>
      <c r="G610" s="169"/>
      <c r="H610" s="170"/>
      <c r="I610" s="114"/>
      <c r="J610" s="154"/>
      <c r="K610" s="49"/>
      <c r="L610" s="49"/>
      <c r="M610" s="49"/>
      <c r="N610" s="49"/>
      <c r="O610" s="49"/>
      <c r="P610" s="49"/>
      <c r="Q610" s="49"/>
      <c r="R610" s="49"/>
    </row>
    <row r="611" spans="1:18" x14ac:dyDescent="0.25">
      <c r="A611" s="49"/>
      <c r="B611" s="103"/>
      <c r="C611" s="101"/>
      <c r="D611" s="49"/>
      <c r="E611" s="101"/>
      <c r="F611" s="154"/>
      <c r="G611" s="113"/>
      <c r="H611" s="39"/>
      <c r="I611" s="114"/>
      <c r="J611" s="154"/>
      <c r="K611" s="49"/>
      <c r="L611" s="49"/>
      <c r="M611" s="49"/>
      <c r="N611" s="49"/>
      <c r="O611" s="49"/>
      <c r="P611" s="49"/>
      <c r="Q611" s="49"/>
      <c r="R611" s="49"/>
    </row>
    <row r="612" spans="1:18" x14ac:dyDescent="0.25">
      <c r="A612" s="49"/>
      <c r="B612" s="103"/>
      <c r="C612" s="101"/>
      <c r="D612" s="49"/>
      <c r="E612" s="101"/>
      <c r="F612" s="154"/>
      <c r="G612" s="113"/>
      <c r="H612" s="39"/>
      <c r="I612" s="114"/>
      <c r="J612" s="154"/>
      <c r="K612" s="49"/>
      <c r="L612" s="49"/>
      <c r="M612" s="49"/>
      <c r="N612" s="49"/>
      <c r="O612" s="49"/>
      <c r="P612" s="49"/>
      <c r="Q612" s="49"/>
      <c r="R612" s="49"/>
    </row>
    <row r="613" spans="1:18" x14ac:dyDescent="0.25">
      <c r="A613" s="49"/>
      <c r="B613" s="103"/>
      <c r="C613" s="101"/>
      <c r="D613" s="49"/>
      <c r="E613" s="101"/>
      <c r="F613" s="154"/>
      <c r="G613" s="113"/>
      <c r="H613" s="39"/>
      <c r="I613" s="114"/>
      <c r="J613" s="154"/>
      <c r="K613" s="49"/>
      <c r="L613" s="49"/>
      <c r="M613" s="49"/>
      <c r="N613" s="49"/>
      <c r="O613" s="49"/>
      <c r="P613" s="49"/>
      <c r="Q613" s="49"/>
      <c r="R613" s="49"/>
    </row>
    <row r="614" spans="1:18" x14ac:dyDescent="0.25">
      <c r="A614" s="49"/>
      <c r="B614" s="103"/>
      <c r="C614" s="49"/>
      <c r="D614" s="49"/>
      <c r="E614" s="101"/>
      <c r="F614" s="154"/>
      <c r="G614" s="113"/>
      <c r="H614" s="39"/>
      <c r="I614" s="114"/>
      <c r="J614" s="298"/>
      <c r="K614" s="299"/>
      <c r="L614" s="49"/>
      <c r="M614" s="49"/>
      <c r="N614" s="49"/>
      <c r="O614" s="49"/>
      <c r="P614" s="49"/>
      <c r="Q614" s="49"/>
      <c r="R614" s="49"/>
    </row>
    <row r="615" spans="1:18" x14ac:dyDescent="0.25">
      <c r="A615" s="49"/>
      <c r="B615" s="103"/>
      <c r="C615" s="49"/>
      <c r="D615" s="49"/>
      <c r="E615" s="49"/>
      <c r="F615" s="154"/>
      <c r="G615" s="113"/>
      <c r="H615" s="39"/>
      <c r="I615" s="114"/>
      <c r="J615" s="154"/>
      <c r="K615" s="49"/>
      <c r="L615" s="49"/>
      <c r="M615" s="49"/>
      <c r="N615" s="49"/>
      <c r="O615" s="49"/>
      <c r="P615" s="49"/>
      <c r="Q615" s="49"/>
      <c r="R615" s="49"/>
    </row>
    <row r="616" spans="3:10" x14ac:dyDescent="0.25">
      <c r="C616" s="328"/>
      <c r="E616" s="101"/>
      <c r="F616" s="278"/>
      <c r="H616" s="329"/>
      <c r="I616" s="330"/>
      <c r="J616" s="278"/>
    </row>
    <row r="617" spans="5:5" x14ac:dyDescent="0.25">
      <c r="E617" s="49"/>
    </row>
    <row r="618" spans="5:5" x14ac:dyDescent="0.25">
      <c r="E618" s="49"/>
    </row>
    <row r="619" spans="5:5" x14ac:dyDescent="0.25">
      <c r="E619" s="49"/>
    </row>
    <row r="620" spans="5:5" x14ac:dyDescent="0.25">
      <c r="E620" s="49"/>
    </row>
    <row r="621" spans="5:5" x14ac:dyDescent="0.25">
      <c r="E621" s="49"/>
    </row>
  </sheetData>
  <autoFilter ref="A2:S613"/>
  <pageMargins left="0.7" right="0.7" top="0.75" bottom="0.75" header="0.3" footer="0.3"/>
  <pageSetup paperSize="122" orientation="portrait" horizontalDpi="300" verticalDpi="300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2"/>
  <sheetViews>
    <sheetView workbookViewId="0" zoomScale="100" zoomScaleNormal="100">
      <selection activeCell="J58" sqref="J58"/>
    </sheetView>
  </sheetViews>
  <sheetFormatPr defaultRowHeight="15" outlineLevelRow="0" outlineLevelCol="0" x14ac:dyDescent="0"/>
  <cols>
    <col min="1" max="1" width="15.7109375" customWidth="1"/>
    <col min="2" max="2" width="8.5703125" customWidth="1"/>
    <col min="3" max="3" width="10.5703125" hidden="1" customWidth="1"/>
    <col min="4" max="4" width="12.42578125" hidden="1" customWidth="1"/>
    <col min="5" max="5" width="13" customWidth="1"/>
    <col min="6" max="6" width="5.5703125" customWidth="1"/>
    <col min="7" max="7" width="49.42578125" customWidth="1"/>
    <col min="8" max="8" width="9.42578125" style="208" customWidth="1"/>
    <col min="9" max="9" width="22.42578125" customWidth="1"/>
    <col min="10" max="10" width="9.42578125" style="210" customWidth="1"/>
    <col min="11" max="11" width="10.28515625" customWidth="1"/>
    <col min="12" max="12" width="10.5703125" customWidth="1"/>
    <col min="14" max="14" width="10.7109375" customWidth="1"/>
  </cols>
  <sheetData>
    <row r="1" ht="32.25" customHeight="1" spans="7:7" x14ac:dyDescent="0.25">
      <c r="G1" s="211" t="s">
        <v>3204</v>
      </c>
    </row>
    <row r="2" spans="1:11" s="17" customFormat="1" x14ac:dyDescent="0.25">
      <c r="A2" s="17" t="s">
        <v>3205</v>
      </c>
      <c r="B2" s="17" t="s">
        <v>846</v>
      </c>
      <c r="G2" s="17" t="s">
        <v>3206</v>
      </c>
      <c r="H2" s="100">
        <v>10</v>
      </c>
      <c r="J2" s="100">
        <v>1</v>
      </c>
      <c r="K2" s="17" t="s">
        <v>1793</v>
      </c>
    </row>
    <row r="3" spans="1:10" s="111" customFormat="1" x14ac:dyDescent="0.25">
      <c r="A3" s="26" t="s">
        <v>3207</v>
      </c>
      <c r="B3" s="26" t="s">
        <v>3208</v>
      </c>
      <c r="G3" s="26" t="s">
        <v>3209</v>
      </c>
      <c r="H3" s="56">
        <v>25</v>
      </c>
      <c r="J3" s="56">
        <v>2</v>
      </c>
    </row>
    <row r="4" spans="1:10" s="6" customFormat="1" x14ac:dyDescent="0.25">
      <c r="A4" s="6" t="s">
        <v>3210</v>
      </c>
      <c r="B4" s="6" t="s">
        <v>3211</v>
      </c>
      <c r="G4" s="6" t="s">
        <v>3212</v>
      </c>
      <c r="H4" s="9">
        <v>25</v>
      </c>
      <c r="J4" s="56">
        <v>2</v>
      </c>
    </row>
    <row r="5" spans="1:12" s="6" customFormat="1" x14ac:dyDescent="0.25">
      <c r="A5" s="6" t="s">
        <v>3213</v>
      </c>
      <c r="B5" s="6" t="s">
        <v>3214</v>
      </c>
      <c r="G5" s="6" t="s">
        <v>3215</v>
      </c>
      <c r="H5" s="9">
        <v>25</v>
      </c>
      <c r="J5" s="56">
        <v>3</v>
      </c>
      <c r="K5" s="6" t="s">
        <v>2607</v>
      </c>
      <c r="L5" s="6" t="s">
        <v>1354</v>
      </c>
    </row>
    <row r="6" spans="1:10" s="6" customFormat="1" x14ac:dyDescent="0.25">
      <c r="A6" s="6" t="s">
        <v>3216</v>
      </c>
      <c r="B6" s="6" t="s">
        <v>3217</v>
      </c>
      <c r="G6" s="6" t="s">
        <v>3218</v>
      </c>
      <c r="H6" s="9">
        <v>25</v>
      </c>
      <c r="J6" s="56">
        <v>1</v>
      </c>
    </row>
    <row r="7" spans="2:11" s="6" customFormat="1" x14ac:dyDescent="0.25">
      <c r="B7" s="6" t="s">
        <v>3219</v>
      </c>
      <c r="G7" s="6" t="s">
        <v>3220</v>
      </c>
      <c r="H7" s="9">
        <v>10</v>
      </c>
      <c r="J7" s="100">
        <v>0</v>
      </c>
      <c r="K7" s="6" t="s">
        <v>1931</v>
      </c>
    </row>
    <row r="8" spans="2:20" x14ac:dyDescent="0.25">
      <c r="B8" s="212" t="s">
        <v>3221</v>
      </c>
      <c r="C8" s="213"/>
      <c r="D8" s="212"/>
      <c r="E8" s="214" t="s">
        <v>3222</v>
      </c>
      <c r="F8" s="215"/>
      <c r="G8" s="216" t="s">
        <v>3223</v>
      </c>
      <c r="H8" s="217">
        <v>15</v>
      </c>
      <c r="I8" s="218"/>
      <c r="J8" s="219">
        <v>0</v>
      </c>
      <c r="K8" s="220"/>
      <c r="L8" s="221"/>
      <c r="M8" s="216"/>
      <c r="N8" s="216"/>
      <c r="O8" s="216"/>
      <c r="P8" s="216"/>
      <c r="Q8" s="216"/>
      <c r="R8" s="216"/>
      <c r="S8" s="216"/>
      <c r="T8" s="216"/>
    </row>
    <row r="9" spans="2:20" x14ac:dyDescent="0.25">
      <c r="B9" s="26" t="s">
        <v>3224</v>
      </c>
      <c r="C9" s="27"/>
      <c r="D9" s="26"/>
      <c r="E9" s="29" t="s">
        <v>3222</v>
      </c>
      <c r="F9" s="30"/>
      <c r="G9" s="26" t="s">
        <v>3225</v>
      </c>
      <c r="H9" s="31">
        <v>25</v>
      </c>
      <c r="I9" s="32"/>
      <c r="J9" s="15">
        <v>0</v>
      </c>
      <c r="K9" s="12" t="s">
        <v>2761</v>
      </c>
      <c r="L9" s="8"/>
      <c r="M9" s="6"/>
      <c r="N9" s="6"/>
      <c r="O9" s="6"/>
      <c r="P9" s="6"/>
      <c r="Q9" s="6"/>
      <c r="R9" s="6"/>
      <c r="S9" s="6"/>
      <c r="T9" s="6"/>
    </row>
    <row r="10" spans="2:20" x14ac:dyDescent="0.25">
      <c r="B10" s="26" t="s">
        <v>3226</v>
      </c>
      <c r="C10" s="27"/>
      <c r="D10" s="26" t="s">
        <v>3227</v>
      </c>
      <c r="E10" s="29" t="s">
        <v>3222</v>
      </c>
      <c r="F10" s="30"/>
      <c r="G10" s="26" t="s">
        <v>3228</v>
      </c>
      <c r="H10" s="31">
        <v>25</v>
      </c>
      <c r="I10" s="32"/>
      <c r="J10" s="15">
        <v>0</v>
      </c>
      <c r="K10" s="12" t="s">
        <v>3229</v>
      </c>
      <c r="L10" s="33" t="s">
        <v>1402</v>
      </c>
      <c r="M10" s="26" t="s">
        <v>3230</v>
      </c>
      <c r="N10" s="26"/>
      <c r="O10" s="26"/>
      <c r="P10" s="26"/>
      <c r="Q10" s="26"/>
      <c r="R10" s="26"/>
      <c r="S10" s="26"/>
      <c r="T10" s="26"/>
    </row>
    <row r="11" spans="1:20" x14ac:dyDescent="0.25">
      <c r="A11" t="s">
        <v>3231</v>
      </c>
      <c r="B11" s="26" t="s">
        <v>3232</v>
      </c>
      <c r="C11" s="27"/>
      <c r="D11" s="26"/>
      <c r="E11" s="29" t="s">
        <v>3222</v>
      </c>
      <c r="F11" s="30"/>
      <c r="G11" s="26" t="s">
        <v>3233</v>
      </c>
      <c r="H11" s="31">
        <v>25</v>
      </c>
      <c r="I11" s="32"/>
      <c r="J11" s="11">
        <v>2</v>
      </c>
      <c r="K11" s="12" t="s">
        <v>3234</v>
      </c>
      <c r="L11" s="8"/>
      <c r="M11" s="6"/>
      <c r="N11" s="6"/>
      <c r="O11" s="6"/>
      <c r="P11" s="6"/>
      <c r="Q11" s="6"/>
      <c r="R11" s="6"/>
      <c r="S11" s="6"/>
      <c r="T11" s="6"/>
    </row>
    <row r="12" spans="1:20" x14ac:dyDescent="0.25">
      <c r="A12" t="s">
        <v>3235</v>
      </c>
      <c r="B12" s="26" t="s">
        <v>3236</v>
      </c>
      <c r="C12" s="27"/>
      <c r="D12" s="26"/>
      <c r="E12" s="29" t="s">
        <v>3222</v>
      </c>
      <c r="F12" s="30"/>
      <c r="G12" s="26" t="s">
        <v>3237</v>
      </c>
      <c r="H12" s="31">
        <v>10</v>
      </c>
      <c r="I12" s="32"/>
      <c r="J12" s="11">
        <v>11</v>
      </c>
      <c r="K12" s="12" t="s">
        <v>2161</v>
      </c>
      <c r="L12" s="33" t="s">
        <v>1522</v>
      </c>
      <c r="M12" s="26" t="s">
        <v>2491</v>
      </c>
      <c r="N12" s="26" t="s">
        <v>3238</v>
      </c>
      <c r="O12" s="26"/>
      <c r="P12" s="26"/>
      <c r="Q12" s="26"/>
      <c r="R12" s="26"/>
      <c r="S12" s="26"/>
      <c r="T12" s="26"/>
    </row>
    <row r="13" spans="1:20" x14ac:dyDescent="0.25">
      <c r="A13" t="s">
        <v>2393</v>
      </c>
      <c r="B13" s="26" t="s">
        <v>3239</v>
      </c>
      <c r="C13" s="27"/>
      <c r="D13" s="26"/>
      <c r="E13" s="29" t="s">
        <v>3222</v>
      </c>
      <c r="F13" s="30"/>
      <c r="G13" s="26" t="s">
        <v>3240</v>
      </c>
      <c r="H13" s="31">
        <v>10</v>
      </c>
      <c r="I13" s="32">
        <v>2020</v>
      </c>
      <c r="J13" s="11">
        <v>0</v>
      </c>
      <c r="K13" s="12" t="s">
        <v>3241</v>
      </c>
      <c r="L13" s="8" t="s">
        <v>3242</v>
      </c>
      <c r="M13" s="6" t="s">
        <v>1931</v>
      </c>
      <c r="N13" s="6" t="s">
        <v>1206</v>
      </c>
      <c r="O13" s="6"/>
      <c r="P13" s="6"/>
      <c r="Q13" s="6"/>
      <c r="R13" s="6"/>
      <c r="S13" s="6"/>
      <c r="T13" s="6"/>
    </row>
    <row r="14" spans="1:20" x14ac:dyDescent="0.25">
      <c r="A14" t="s">
        <v>2393</v>
      </c>
      <c r="B14" s="222" t="s">
        <v>3243</v>
      </c>
      <c r="C14" s="223"/>
      <c r="D14" s="222"/>
      <c r="E14" s="29" t="s">
        <v>3222</v>
      </c>
      <c r="F14" s="30"/>
      <c r="G14" s="224" t="s">
        <v>3244</v>
      </c>
      <c r="H14" s="225">
        <v>10</v>
      </c>
      <c r="I14" s="32"/>
      <c r="J14" s="11">
        <v>3</v>
      </c>
      <c r="K14" s="12" t="s">
        <v>1120</v>
      </c>
      <c r="L14" s="33" t="s">
        <v>3245</v>
      </c>
      <c r="M14" s="26" t="s">
        <v>860</v>
      </c>
      <c r="N14" s="26" t="s">
        <v>910</v>
      </c>
      <c r="O14" s="26" t="s">
        <v>509</v>
      </c>
      <c r="P14" s="26" t="s">
        <v>3246</v>
      </c>
      <c r="Q14" s="26"/>
      <c r="R14" s="26"/>
      <c r="S14" s="26"/>
      <c r="T14" s="26"/>
    </row>
    <row r="15" spans="2:20" s="40" customFormat="1" x14ac:dyDescent="0.25">
      <c r="B15" s="226" t="s">
        <v>3247</v>
      </c>
      <c r="C15" s="227"/>
      <c r="D15" s="226"/>
      <c r="E15" s="29" t="s">
        <v>3222</v>
      </c>
      <c r="F15" s="30"/>
      <c r="G15" s="224" t="s">
        <v>3248</v>
      </c>
      <c r="H15" s="225">
        <v>10</v>
      </c>
      <c r="I15" s="32"/>
      <c r="J15" s="15">
        <v>0</v>
      </c>
      <c r="K15" s="12" t="s">
        <v>3249</v>
      </c>
      <c r="L15" s="33" t="s">
        <v>3250</v>
      </c>
      <c r="M15" s="26"/>
      <c r="N15" s="26"/>
      <c r="O15" s="26"/>
      <c r="P15" s="26"/>
      <c r="Q15" s="26"/>
      <c r="R15" s="26"/>
      <c r="S15" s="26"/>
      <c r="T15" s="26"/>
    </row>
    <row r="16" spans="2:20" x14ac:dyDescent="0.25">
      <c r="B16" s="76" t="s">
        <v>3251</v>
      </c>
      <c r="C16" s="77"/>
      <c r="D16" s="76"/>
      <c r="E16" s="29" t="s">
        <v>3222</v>
      </c>
      <c r="F16" s="30"/>
      <c r="G16" s="224" t="s">
        <v>3252</v>
      </c>
      <c r="H16" s="225">
        <v>10</v>
      </c>
      <c r="I16" s="32"/>
      <c r="J16" s="15">
        <v>0</v>
      </c>
      <c r="K16" s="12"/>
      <c r="L16" s="8"/>
      <c r="M16" s="6"/>
      <c r="N16" s="6"/>
      <c r="O16" s="6"/>
      <c r="P16" s="6"/>
      <c r="Q16" s="6"/>
      <c r="R16" s="6"/>
      <c r="S16" s="6"/>
      <c r="T16" s="6"/>
    </row>
    <row r="17" spans="1:20" x14ac:dyDescent="0.25">
      <c r="A17" t="s">
        <v>2393</v>
      </c>
      <c r="B17" s="26" t="s">
        <v>3253</v>
      </c>
      <c r="C17" s="27"/>
      <c r="D17" s="26"/>
      <c r="E17" s="29" t="s">
        <v>3222</v>
      </c>
      <c r="F17" s="30"/>
      <c r="G17" s="228" t="s">
        <v>3254</v>
      </c>
      <c r="H17" s="229">
        <v>10</v>
      </c>
      <c r="I17" s="32">
        <v>2019</v>
      </c>
      <c r="J17" s="11">
        <v>0</v>
      </c>
      <c r="K17" s="34" t="s">
        <v>3255</v>
      </c>
      <c r="L17" s="8" t="s">
        <v>3256</v>
      </c>
      <c r="M17" s="6" t="s">
        <v>2226</v>
      </c>
      <c r="N17" s="6" t="s">
        <v>3257</v>
      </c>
      <c r="O17" s="6" t="s">
        <v>277</v>
      </c>
      <c r="P17" s="6" t="s">
        <v>600</v>
      </c>
      <c r="Q17" s="6"/>
      <c r="R17" s="6"/>
      <c r="S17" s="6"/>
      <c r="T17" s="6"/>
    </row>
    <row r="18" spans="2:20" x14ac:dyDescent="0.25">
      <c r="B18" s="26" t="s">
        <v>3258</v>
      </c>
      <c r="C18" s="27"/>
      <c r="D18" s="26"/>
      <c r="E18" s="29" t="s">
        <v>3222</v>
      </c>
      <c r="F18" s="30"/>
      <c r="G18" s="26" t="s">
        <v>3259</v>
      </c>
      <c r="H18" s="31">
        <v>15</v>
      </c>
      <c r="I18" s="32"/>
      <c r="J18" s="15">
        <v>0</v>
      </c>
      <c r="K18" s="12" t="s">
        <v>3260</v>
      </c>
      <c r="L18" s="8" t="s">
        <v>1598</v>
      </c>
      <c r="M18" s="6"/>
      <c r="N18" s="6"/>
      <c r="O18" s="6"/>
      <c r="P18" s="6"/>
      <c r="Q18" s="6"/>
      <c r="R18" s="6"/>
      <c r="S18" s="6"/>
      <c r="T18" s="6"/>
    </row>
    <row r="19" spans="1:20" x14ac:dyDescent="0.25">
      <c r="A19" t="s">
        <v>2393</v>
      </c>
      <c r="B19" s="26" t="s">
        <v>3261</v>
      </c>
      <c r="C19" s="27"/>
      <c r="D19" s="26"/>
      <c r="E19" s="29"/>
      <c r="F19" s="30"/>
      <c r="G19" s="26" t="s">
        <v>3262</v>
      </c>
      <c r="H19" s="31">
        <v>10</v>
      </c>
      <c r="I19" s="32"/>
      <c r="J19" s="11">
        <v>0</v>
      </c>
      <c r="K19" s="12" t="s">
        <v>600</v>
      </c>
      <c r="L19" s="8"/>
      <c r="M19" s="6"/>
      <c r="N19" s="6"/>
      <c r="O19" s="6"/>
      <c r="P19" s="6"/>
      <c r="Q19" s="6"/>
      <c r="R19" s="6"/>
      <c r="S19" s="6"/>
      <c r="T19" s="6"/>
    </row>
    <row r="20" spans="1:20" x14ac:dyDescent="0.25">
      <c r="A20" t="s">
        <v>3263</v>
      </c>
      <c r="B20" s="26" t="s">
        <v>3264</v>
      </c>
      <c r="C20" s="27"/>
      <c r="D20" s="26"/>
      <c r="E20" s="29" t="s">
        <v>3222</v>
      </c>
      <c r="F20" s="30"/>
      <c r="G20" s="230" t="s">
        <v>3265</v>
      </c>
      <c r="H20" s="31">
        <v>10</v>
      </c>
      <c r="I20" s="32"/>
      <c r="J20" s="11">
        <v>3</v>
      </c>
      <c r="K20" s="12" t="s">
        <v>3266</v>
      </c>
      <c r="L20" s="8" t="s">
        <v>1386</v>
      </c>
      <c r="M20" s="6"/>
      <c r="N20" s="6"/>
      <c r="O20" s="6"/>
      <c r="P20" s="6"/>
      <c r="Q20" s="6"/>
      <c r="R20" s="6"/>
      <c r="S20" s="6"/>
      <c r="T20" s="6"/>
    </row>
    <row r="21" spans="1:20" s="16" customFormat="1" x14ac:dyDescent="0.25">
      <c r="A21" s="16" t="s">
        <v>3267</v>
      </c>
      <c r="B21" s="17" t="s">
        <v>3268</v>
      </c>
      <c r="C21" s="18"/>
      <c r="D21" s="17"/>
      <c r="E21" s="20" t="s">
        <v>3222</v>
      </c>
      <c r="F21" s="21"/>
      <c r="G21" s="17" t="s">
        <v>3269</v>
      </c>
      <c r="H21" s="22">
        <v>88</v>
      </c>
      <c r="I21" s="23"/>
      <c r="J21" s="15">
        <v>1</v>
      </c>
      <c r="K21" s="24"/>
      <c r="L21" s="25"/>
      <c r="M21" s="17" t="s">
        <v>125</v>
      </c>
      <c r="N21" s="17" t="s">
        <v>496</v>
      </c>
      <c r="O21" s="17" t="s">
        <v>3270</v>
      </c>
      <c r="P21" s="17" t="s">
        <v>935</v>
      </c>
      <c r="Q21" s="17" t="s">
        <v>682</v>
      </c>
      <c r="R21" s="17" t="s">
        <v>614</v>
      </c>
      <c r="S21" s="17" t="s">
        <v>85</v>
      </c>
      <c r="T21" s="17" t="s">
        <v>823</v>
      </c>
    </row>
    <row r="22" spans="1:20" x14ac:dyDescent="0.25">
      <c r="A22" t="s">
        <v>3271</v>
      </c>
      <c r="B22" t="s">
        <v>3272</v>
      </c>
      <c r="C22" s="27"/>
      <c r="D22" s="26"/>
      <c r="E22" s="29"/>
      <c r="F22" s="30"/>
      <c r="G22" s="6" t="s">
        <v>3273</v>
      </c>
      <c r="H22" s="9">
        <v>10</v>
      </c>
      <c r="I22" s="32"/>
      <c r="J22" s="56">
        <v>3</v>
      </c>
      <c r="K22" s="12"/>
      <c r="L22" s="8"/>
      <c r="M22" s="6"/>
      <c r="N22" s="6"/>
      <c r="O22" s="6"/>
      <c r="P22" s="6"/>
      <c r="Q22" s="6"/>
      <c r="R22" s="6"/>
      <c r="S22" s="6"/>
      <c r="T22" s="6"/>
    </row>
    <row r="23" spans="1:20" x14ac:dyDescent="0.25">
      <c r="A23">
        <v>62948164</v>
      </c>
      <c r="B23" t="s">
        <v>3274</v>
      </c>
      <c r="C23" s="27"/>
      <c r="D23" s="26"/>
      <c r="E23" s="29"/>
      <c r="F23" s="30"/>
      <c r="G23" s="6" t="s">
        <v>3275</v>
      </c>
      <c r="H23" s="9">
        <v>25</v>
      </c>
      <c r="I23" s="32"/>
      <c r="J23" s="56">
        <v>1</v>
      </c>
      <c r="K23" s="12"/>
      <c r="L23" s="8"/>
      <c r="M23" s="6"/>
      <c r="N23" s="6"/>
      <c r="O23" s="6"/>
      <c r="P23" s="6"/>
      <c r="Q23" s="6"/>
      <c r="R23" s="6"/>
      <c r="S23" s="6"/>
      <c r="T23" s="6"/>
    </row>
    <row r="24" spans="1:20" x14ac:dyDescent="0.25">
      <c r="A24" t="s">
        <v>3276</v>
      </c>
      <c r="B24" t="s">
        <v>3277</v>
      </c>
      <c r="C24" s="27"/>
      <c r="D24" s="26"/>
      <c r="E24" s="29"/>
      <c r="F24" s="30"/>
      <c r="G24" s="6" t="s">
        <v>3278</v>
      </c>
      <c r="H24" s="9">
        <v>25</v>
      </c>
      <c r="I24" s="32"/>
      <c r="J24" s="56">
        <v>1</v>
      </c>
      <c r="K24" s="12" t="s">
        <v>600</v>
      </c>
      <c r="L24" s="8"/>
      <c r="M24" s="6"/>
      <c r="N24" s="6"/>
      <c r="O24" s="6"/>
      <c r="P24" s="6"/>
      <c r="Q24" s="6"/>
      <c r="R24" s="6"/>
      <c r="S24" s="6"/>
      <c r="T24" s="6"/>
    </row>
    <row r="25" spans="1:20" x14ac:dyDescent="0.25">
      <c r="A25" t="s">
        <v>2393</v>
      </c>
      <c r="B25" t="s">
        <v>3279</v>
      </c>
      <c r="C25" s="27"/>
      <c r="D25" s="26"/>
      <c r="E25" s="29"/>
      <c r="F25" s="30"/>
      <c r="G25" s="6" t="s">
        <v>3280</v>
      </c>
      <c r="H25" s="9">
        <v>25</v>
      </c>
      <c r="I25" s="32"/>
      <c r="J25" s="56">
        <v>0</v>
      </c>
      <c r="K25" s="12" t="s">
        <v>464</v>
      </c>
      <c r="L25" s="8"/>
      <c r="M25" s="6"/>
      <c r="N25" s="6"/>
      <c r="O25" s="6"/>
      <c r="P25" s="6"/>
      <c r="Q25" s="6"/>
      <c r="R25" s="6"/>
      <c r="S25" s="6"/>
      <c r="T25" s="6"/>
    </row>
    <row r="26" spans="1:20" x14ac:dyDescent="0.25">
      <c r="A26" t="s">
        <v>3281</v>
      </c>
      <c r="B26" t="s">
        <v>3282</v>
      </c>
      <c r="C26" s="27"/>
      <c r="D26" s="26"/>
      <c r="E26" s="29"/>
      <c r="F26" s="30"/>
      <c r="G26" s="6" t="s">
        <v>3283</v>
      </c>
      <c r="H26" s="9">
        <v>25</v>
      </c>
      <c r="I26" s="32"/>
      <c r="J26" s="56">
        <v>3</v>
      </c>
      <c r="K26" s="12"/>
      <c r="L26" s="8"/>
      <c r="M26" s="6"/>
      <c r="N26" s="6"/>
      <c r="O26" s="6"/>
      <c r="P26" s="6"/>
      <c r="Q26" s="6"/>
      <c r="R26" s="6"/>
      <c r="S26" s="6"/>
      <c r="T26" s="6"/>
    </row>
    <row r="27" spans="2:20" s="16" customFormat="1" x14ac:dyDescent="0.25">
      <c r="B27" s="16" t="s">
        <v>3284</v>
      </c>
      <c r="C27" s="18"/>
      <c r="D27" s="17"/>
      <c r="E27" s="20"/>
      <c r="F27" s="21"/>
      <c r="G27" s="17" t="s">
        <v>3285</v>
      </c>
      <c r="H27" s="100">
        <v>25</v>
      </c>
      <c r="I27" s="23"/>
      <c r="J27" s="100">
        <v>0</v>
      </c>
      <c r="K27" s="24" t="s">
        <v>44</v>
      </c>
      <c r="L27" s="25" t="s">
        <v>250</v>
      </c>
      <c r="M27" s="17" t="s">
        <v>1483</v>
      </c>
      <c r="N27" s="17" t="s">
        <v>736</v>
      </c>
      <c r="O27" s="17"/>
      <c r="P27" s="17"/>
      <c r="Q27" s="17"/>
      <c r="R27" s="17"/>
      <c r="S27" s="17"/>
      <c r="T27" s="17"/>
    </row>
    <row r="28" spans="1:20" x14ac:dyDescent="0.25">
      <c r="A28" t="s">
        <v>3286</v>
      </c>
      <c r="B28" t="s">
        <v>3287</v>
      </c>
      <c r="C28" s="27"/>
      <c r="D28" s="26"/>
      <c r="E28" s="29"/>
      <c r="F28" s="30"/>
      <c r="G28" s="6" t="s">
        <v>3288</v>
      </c>
      <c r="H28" s="9">
        <v>25</v>
      </c>
      <c r="I28" s="32"/>
      <c r="J28" s="100">
        <v>0</v>
      </c>
      <c r="K28" s="12" t="s">
        <v>2300</v>
      </c>
      <c r="L28" s="8" t="s">
        <v>1040</v>
      </c>
      <c r="M28" s="6" t="s">
        <v>1959</v>
      </c>
      <c r="N28" s="13">
        <v>46006</v>
      </c>
      <c r="O28" s="6"/>
      <c r="P28" s="6"/>
      <c r="Q28" s="6"/>
      <c r="R28" s="6"/>
      <c r="S28" s="6"/>
      <c r="T28" s="6"/>
    </row>
    <row r="29" spans="1:20" x14ac:dyDescent="0.25">
      <c r="A29" t="s">
        <v>3289</v>
      </c>
      <c r="B29" t="s">
        <v>3290</v>
      </c>
      <c r="C29" s="27"/>
      <c r="D29" s="26"/>
      <c r="E29" s="29"/>
      <c r="F29" s="30"/>
      <c r="G29" s="6" t="s">
        <v>3291</v>
      </c>
      <c r="H29" s="9">
        <v>25</v>
      </c>
      <c r="I29" s="32"/>
      <c r="J29" s="100">
        <v>0</v>
      </c>
      <c r="K29" s="12" t="s">
        <v>3292</v>
      </c>
      <c r="L29" s="8" t="s">
        <v>1959</v>
      </c>
      <c r="M29" s="6" t="s">
        <v>3293</v>
      </c>
      <c r="N29" s="6"/>
      <c r="O29" s="6"/>
      <c r="P29" s="6"/>
      <c r="Q29" s="6"/>
      <c r="R29" s="6"/>
      <c r="S29" s="6"/>
      <c r="T29" s="6"/>
    </row>
    <row r="30" spans="1:20" x14ac:dyDescent="0.25">
      <c r="A30" t="s">
        <v>3294</v>
      </c>
      <c r="B30" t="s">
        <v>3224</v>
      </c>
      <c r="C30" s="27"/>
      <c r="D30" s="26"/>
      <c r="E30" s="29"/>
      <c r="F30" s="30"/>
      <c r="G30" s="6" t="s">
        <v>3295</v>
      </c>
      <c r="H30" s="9">
        <v>25</v>
      </c>
      <c r="I30" s="32"/>
      <c r="J30" s="100">
        <v>0</v>
      </c>
      <c r="K30" s="12" t="s">
        <v>1959</v>
      </c>
      <c r="L30" s="8" t="s">
        <v>148</v>
      </c>
      <c r="M30" s="6"/>
      <c r="N30" s="6"/>
      <c r="O30" s="6"/>
      <c r="P30" s="6"/>
      <c r="Q30" s="6"/>
      <c r="R30" s="6"/>
      <c r="S30" s="6"/>
      <c r="T30" s="6"/>
    </row>
    <row r="31" spans="1:20" x14ac:dyDescent="0.25">
      <c r="A31" t="s">
        <v>3296</v>
      </c>
      <c r="B31" t="s">
        <v>3297</v>
      </c>
      <c r="C31" s="27"/>
      <c r="D31" s="26"/>
      <c r="E31" s="29"/>
      <c r="F31" s="30"/>
      <c r="G31" s="6" t="s">
        <v>3298</v>
      </c>
      <c r="H31" s="9">
        <v>25</v>
      </c>
      <c r="I31" s="32"/>
      <c r="J31" s="56">
        <v>3</v>
      </c>
      <c r="K31" s="12"/>
      <c r="L31" s="8"/>
      <c r="M31" s="6"/>
      <c r="N31" s="6"/>
      <c r="O31" s="6"/>
      <c r="P31" s="6"/>
      <c r="Q31" s="6"/>
      <c r="R31" s="6"/>
      <c r="S31" s="6"/>
      <c r="T31" s="6"/>
    </row>
    <row r="32" spans="1:20" x14ac:dyDescent="0.25">
      <c r="A32" t="s">
        <v>3299</v>
      </c>
      <c r="B32" t="s">
        <v>3300</v>
      </c>
      <c r="C32" s="27"/>
      <c r="D32" s="26"/>
      <c r="E32" s="29"/>
      <c r="F32" s="30"/>
      <c r="G32" s="6" t="s">
        <v>3301</v>
      </c>
      <c r="H32" s="9">
        <v>25</v>
      </c>
      <c r="I32" s="32"/>
      <c r="J32" s="56">
        <v>4</v>
      </c>
      <c r="K32" s="12" t="s">
        <v>3302</v>
      </c>
      <c r="L32" s="8"/>
      <c r="M32" s="6"/>
      <c r="N32" s="6"/>
      <c r="O32" s="6"/>
      <c r="P32" s="6"/>
      <c r="Q32" s="6"/>
      <c r="R32" s="6"/>
      <c r="S32" s="6"/>
      <c r="T32" s="6"/>
    </row>
    <row r="33" spans="1:20" x14ac:dyDescent="0.25">
      <c r="A33" t="s">
        <v>2393</v>
      </c>
      <c r="B33" t="s">
        <v>3303</v>
      </c>
      <c r="C33" s="27"/>
      <c r="D33" s="26"/>
      <c r="E33" s="29"/>
      <c r="F33" s="30"/>
      <c r="G33" s="6" t="s">
        <v>3304</v>
      </c>
      <c r="H33" s="9">
        <v>25</v>
      </c>
      <c r="I33" s="32"/>
      <c r="J33" s="56">
        <v>2</v>
      </c>
      <c r="K33" s="12"/>
      <c r="L33" s="8"/>
      <c r="M33" s="6"/>
      <c r="N33" s="6"/>
      <c r="O33" s="6"/>
      <c r="P33" s="6"/>
      <c r="Q33" s="6"/>
      <c r="R33" s="6"/>
      <c r="S33" s="6"/>
      <c r="T33" s="6"/>
    </row>
    <row r="34" spans="1:20" x14ac:dyDescent="0.25">
      <c r="A34" t="s">
        <v>2393</v>
      </c>
      <c r="B34" t="s">
        <v>3305</v>
      </c>
      <c r="C34" s="231"/>
      <c r="D34" s="232"/>
      <c r="E34" s="233"/>
      <c r="F34" s="234"/>
      <c r="G34" s="235" t="s">
        <v>3306</v>
      </c>
      <c r="H34" s="236">
        <v>18</v>
      </c>
      <c r="I34" s="237"/>
      <c r="J34" s="238">
        <v>1</v>
      </c>
      <c r="K34" s="239"/>
      <c r="L34" s="240"/>
      <c r="M34" s="235"/>
      <c r="N34" s="235"/>
      <c r="O34" s="235"/>
      <c r="P34" s="235"/>
      <c r="Q34" s="235"/>
      <c r="R34" s="235"/>
      <c r="S34" s="235"/>
      <c r="T34" s="235"/>
    </row>
    <row r="35" spans="2:12" s="6" customFormat="1" x14ac:dyDescent="0.25">
      <c r="B35" s="6" t="s">
        <v>3307</v>
      </c>
      <c r="C35" s="27"/>
      <c r="D35" s="26"/>
      <c r="E35" s="29"/>
      <c r="F35" s="30"/>
      <c r="G35" s="6" t="s">
        <v>3308</v>
      </c>
      <c r="H35" s="9">
        <v>5</v>
      </c>
      <c r="I35" s="32"/>
      <c r="J35" s="56">
        <v>2</v>
      </c>
      <c r="K35" s="12"/>
      <c r="L35" s="8"/>
    </row>
    <row r="36" spans="1:11" s="6" customFormat="1" x14ac:dyDescent="0.25">
      <c r="A36" s="6" t="s">
        <v>3309</v>
      </c>
      <c r="B36" s="6" t="s">
        <v>3310</v>
      </c>
      <c r="G36" s="6" t="s">
        <v>3311</v>
      </c>
      <c r="H36" s="9">
        <v>25</v>
      </c>
      <c r="J36" s="56">
        <v>2</v>
      </c>
      <c r="K36" s="6" t="s">
        <v>600</v>
      </c>
    </row>
    <row r="37" spans="1:11" s="6" customFormat="1" x14ac:dyDescent="0.25">
      <c r="A37" s="6" t="s">
        <v>3312</v>
      </c>
      <c r="B37" s="6" t="s">
        <v>3313</v>
      </c>
      <c r="G37" s="6" t="s">
        <v>3314</v>
      </c>
      <c r="H37" s="9">
        <v>25</v>
      </c>
      <c r="J37" s="56">
        <v>2</v>
      </c>
      <c r="K37" s="6" t="s">
        <v>1322</v>
      </c>
    </row>
    <row r="38" spans="1:10" s="6" customFormat="1" x14ac:dyDescent="0.25">
      <c r="A38" s="6" t="s">
        <v>3315</v>
      </c>
      <c r="B38" s="6" t="s">
        <v>3316</v>
      </c>
      <c r="G38" s="6" t="s">
        <v>3317</v>
      </c>
      <c r="H38" s="9">
        <v>25</v>
      </c>
      <c r="J38" s="56">
        <v>2</v>
      </c>
    </row>
    <row r="39" spans="1:10" s="6" customFormat="1" x14ac:dyDescent="0.25">
      <c r="A39" s="6" t="s">
        <v>3318</v>
      </c>
      <c r="B39" s="6" t="s">
        <v>3319</v>
      </c>
      <c r="G39" s="6" t="s">
        <v>3320</v>
      </c>
      <c r="H39" s="9">
        <v>25</v>
      </c>
      <c r="J39" s="56">
        <v>1</v>
      </c>
    </row>
    <row r="40" spans="1:10" s="6" customFormat="1" x14ac:dyDescent="0.25">
      <c r="A40" s="6" t="s">
        <v>3321</v>
      </c>
      <c r="B40" s="6" t="s">
        <v>3322</v>
      </c>
      <c r="G40" s="6" t="s">
        <v>3323</v>
      </c>
      <c r="H40" s="9">
        <v>25</v>
      </c>
      <c r="J40" s="56">
        <v>2</v>
      </c>
    </row>
    <row r="41" spans="1:11" s="6" customFormat="1" x14ac:dyDescent="0.25">
      <c r="A41" s="6" t="s">
        <v>3324</v>
      </c>
      <c r="B41" s="6" t="s">
        <v>3325</v>
      </c>
      <c r="G41" s="6" t="s">
        <v>3326</v>
      </c>
      <c r="H41" s="9">
        <v>25</v>
      </c>
      <c r="J41" s="100">
        <v>0</v>
      </c>
      <c r="K41" s="6" t="s">
        <v>3327</v>
      </c>
    </row>
    <row r="42" spans="1:12" s="6" customFormat="1" x14ac:dyDescent="0.25">
      <c r="A42" s="6" t="s">
        <v>3328</v>
      </c>
      <c r="B42" s="6" t="s">
        <v>3329</v>
      </c>
      <c r="C42" s="27"/>
      <c r="D42" s="26"/>
      <c r="E42" s="29"/>
      <c r="F42" s="30"/>
      <c r="G42" s="6" t="s">
        <v>3330</v>
      </c>
      <c r="H42" s="9">
        <v>25</v>
      </c>
      <c r="I42" s="32"/>
      <c r="J42" s="56">
        <v>1</v>
      </c>
      <c r="K42" s="12"/>
      <c r="L42" s="8"/>
    </row>
    <row r="43" spans="1:13" s="6" customFormat="1" x14ac:dyDescent="0.25">
      <c r="A43" s="6" t="s">
        <v>3331</v>
      </c>
      <c r="B43" s="6" t="s">
        <v>3332</v>
      </c>
      <c r="G43" s="6" t="s">
        <v>3333</v>
      </c>
      <c r="H43" s="9">
        <v>25</v>
      </c>
      <c r="J43" s="9">
        <v>1</v>
      </c>
      <c r="K43" s="6" t="s">
        <v>266</v>
      </c>
      <c r="L43" s="6" t="s">
        <v>1931</v>
      </c>
      <c r="M43" s="6" t="s">
        <v>135</v>
      </c>
    </row>
    <row r="44" spans="2:21" x14ac:dyDescent="0.25">
      <c r="B44" s="241" t="s">
        <v>3334</v>
      </c>
      <c r="C44" s="242"/>
      <c r="D44" s="241"/>
      <c r="E44" s="243" t="s">
        <v>3222</v>
      </c>
      <c r="F44" s="244"/>
      <c r="G44" s="243" t="s">
        <v>3335</v>
      </c>
      <c r="H44" s="245">
        <v>25</v>
      </c>
      <c r="I44" s="246"/>
      <c r="J44" s="247">
        <v>0</v>
      </c>
      <c r="K44" s="248"/>
      <c r="L44" s="249" t="s">
        <v>647</v>
      </c>
      <c r="M44" s="241" t="s">
        <v>3336</v>
      </c>
      <c r="N44" s="241" t="s">
        <v>1008</v>
      </c>
      <c r="O44" s="241" t="s">
        <v>95</v>
      </c>
      <c r="P44" s="241" t="s">
        <v>2059</v>
      </c>
      <c r="Q44" s="241" t="s">
        <v>499</v>
      </c>
      <c r="R44" s="241" t="s">
        <v>935</v>
      </c>
      <c r="S44" s="241"/>
      <c r="T44" s="241"/>
      <c r="U44" s="40"/>
    </row>
    <row r="45" spans="1:10" s="6" customFormat="1" x14ac:dyDescent="0.25">
      <c r="A45" s="6" t="s">
        <v>3337</v>
      </c>
      <c r="B45" s="6" t="s">
        <v>3338</v>
      </c>
      <c r="G45" s="6" t="s">
        <v>3339</v>
      </c>
      <c r="H45" s="9">
        <v>25</v>
      </c>
      <c r="J45" s="56">
        <v>3</v>
      </c>
    </row>
    <row r="46" spans="1:10" s="6" customFormat="1" x14ac:dyDescent="0.25">
      <c r="A46" s="6" t="s">
        <v>3340</v>
      </c>
      <c r="B46" s="6" t="s">
        <v>3341</v>
      </c>
      <c r="G46" s="6" t="s">
        <v>3339</v>
      </c>
      <c r="H46" s="9">
        <v>10</v>
      </c>
      <c r="J46" s="56">
        <v>10</v>
      </c>
    </row>
    <row r="47" spans="1:10" s="6" customFormat="1" x14ac:dyDescent="0.25">
      <c r="A47" s="6" t="s">
        <v>3342</v>
      </c>
      <c r="B47" s="6" t="s">
        <v>3343</v>
      </c>
      <c r="G47" s="6" t="s">
        <v>3344</v>
      </c>
      <c r="H47" s="9">
        <v>25</v>
      </c>
      <c r="J47" s="56">
        <v>1</v>
      </c>
    </row>
    <row r="48" spans="2:11" s="17" customFormat="1" x14ac:dyDescent="0.25">
      <c r="B48" s="17" t="s">
        <v>3345</v>
      </c>
      <c r="G48" s="17" t="s">
        <v>3346</v>
      </c>
      <c r="H48" s="100">
        <v>10</v>
      </c>
      <c r="J48" s="100">
        <v>0</v>
      </c>
      <c r="K48" s="17" t="s">
        <v>64</v>
      </c>
    </row>
    <row r="49" spans="1:10" s="6" customFormat="1" x14ac:dyDescent="0.25">
      <c r="A49" s="6" t="s">
        <v>3347</v>
      </c>
      <c r="B49" s="6" t="s">
        <v>3348</v>
      </c>
      <c r="G49" s="6" t="s">
        <v>3349</v>
      </c>
      <c r="H49" s="9">
        <v>10</v>
      </c>
      <c r="J49" s="56">
        <v>3</v>
      </c>
    </row>
    <row r="50" spans="1:10" s="6" customFormat="1" x14ac:dyDescent="0.25">
      <c r="A50" s="6" t="s">
        <v>3350</v>
      </c>
      <c r="B50" s="6" t="s">
        <v>3351</v>
      </c>
      <c r="G50" s="6" t="s">
        <v>3349</v>
      </c>
      <c r="H50" s="9">
        <v>25</v>
      </c>
      <c r="J50" s="56">
        <v>2</v>
      </c>
    </row>
    <row r="51" spans="1:11" s="6" customFormat="1" x14ac:dyDescent="0.25">
      <c r="A51" s="6" t="s">
        <v>3352</v>
      </c>
      <c r="B51" s="6" t="s">
        <v>3353</v>
      </c>
      <c r="G51" s="6" t="s">
        <v>3354</v>
      </c>
      <c r="H51" s="9">
        <v>25</v>
      </c>
      <c r="J51" s="56">
        <v>1</v>
      </c>
      <c r="K51" s="6" t="s">
        <v>612</v>
      </c>
    </row>
    <row r="52" spans="1:10" s="6" customFormat="1" x14ac:dyDescent="0.25">
      <c r="A52" s="6" t="s">
        <v>3355</v>
      </c>
      <c r="B52" s="6" t="s">
        <v>3356</v>
      </c>
      <c r="G52" s="6" t="s">
        <v>3357</v>
      </c>
      <c r="H52" s="9">
        <v>10</v>
      </c>
      <c r="J52" s="56">
        <v>1</v>
      </c>
    </row>
    <row r="53" spans="1:12" s="6" customFormat="1" x14ac:dyDescent="0.25">
      <c r="A53" s="6" t="s">
        <v>3358</v>
      </c>
      <c r="B53" s="6" t="s">
        <v>3359</v>
      </c>
      <c r="G53" s="6" t="s">
        <v>3360</v>
      </c>
      <c r="H53" s="9">
        <v>25</v>
      </c>
      <c r="J53" s="56">
        <v>2</v>
      </c>
      <c r="K53" s="6" t="s">
        <v>845</v>
      </c>
      <c r="L53" s="6" t="s">
        <v>470</v>
      </c>
    </row>
    <row r="54" spans="1:11" s="6" customFormat="1" x14ac:dyDescent="0.25">
      <c r="A54" s="6" t="s">
        <v>3361</v>
      </c>
      <c r="B54" s="6" t="s">
        <v>3362</v>
      </c>
      <c r="G54" s="6" t="s">
        <v>3363</v>
      </c>
      <c r="H54" s="9">
        <v>25</v>
      </c>
      <c r="J54" s="56">
        <v>2</v>
      </c>
      <c r="K54" s="6" t="s">
        <v>470</v>
      </c>
    </row>
    <row r="55" spans="1:12" s="6" customFormat="1" x14ac:dyDescent="0.25">
      <c r="A55" s="6" t="s">
        <v>3364</v>
      </c>
      <c r="B55" s="6" t="s">
        <v>3365</v>
      </c>
      <c r="G55" s="6" t="s">
        <v>3366</v>
      </c>
      <c r="H55" s="9">
        <v>25</v>
      </c>
      <c r="J55" s="100">
        <v>0</v>
      </c>
      <c r="K55" s="6" t="s">
        <v>3367</v>
      </c>
      <c r="L55" s="6" t="s">
        <v>258</v>
      </c>
    </row>
    <row r="56" spans="1:11" s="6" customFormat="1" x14ac:dyDescent="0.25">
      <c r="A56" s="6" t="s">
        <v>3368</v>
      </c>
      <c r="B56" s="6" t="s">
        <v>3369</v>
      </c>
      <c r="G56" s="6" t="s">
        <v>3370</v>
      </c>
      <c r="H56" s="9">
        <v>10</v>
      </c>
      <c r="J56" s="100">
        <v>0</v>
      </c>
      <c r="K56" s="6" t="s">
        <v>3371</v>
      </c>
    </row>
    <row r="57" spans="1:11" s="6" customFormat="1" x14ac:dyDescent="0.25">
      <c r="A57" s="6" t="s">
        <v>3372</v>
      </c>
      <c r="B57" s="6" t="s">
        <v>3373</v>
      </c>
      <c r="G57" s="6" t="s">
        <v>3374</v>
      </c>
      <c r="H57" s="9">
        <v>10</v>
      </c>
      <c r="J57" s="56">
        <v>1</v>
      </c>
      <c r="K57" s="6" t="s">
        <v>63</v>
      </c>
    </row>
    <row r="58" spans="1:11" s="6" customFormat="1" x14ac:dyDescent="0.25">
      <c r="A58" s="6" t="s">
        <v>3375</v>
      </c>
      <c r="B58" s="6" t="s">
        <v>3376</v>
      </c>
      <c r="G58" s="6" t="s">
        <v>3377</v>
      </c>
      <c r="H58" s="9">
        <v>25</v>
      </c>
      <c r="J58" s="100">
        <v>0</v>
      </c>
      <c r="K58" s="6" t="s">
        <v>554</v>
      </c>
    </row>
    <row r="59" spans="1:12" s="6" customFormat="1" x14ac:dyDescent="0.25">
      <c r="A59" s="6" t="s">
        <v>3378</v>
      </c>
      <c r="B59" s="6" t="s">
        <v>3379</v>
      </c>
      <c r="C59" s="7"/>
      <c r="E59" s="74"/>
      <c r="F59" s="75"/>
      <c r="G59" s="6" t="s">
        <v>3380</v>
      </c>
      <c r="H59" s="50">
        <v>25</v>
      </c>
      <c r="I59" s="10"/>
      <c r="J59" s="51">
        <v>2</v>
      </c>
      <c r="K59" s="52"/>
      <c r="L59" s="8"/>
    </row>
    <row r="60" spans="1:10" s="6" customFormat="1" x14ac:dyDescent="0.25">
      <c r="A60" s="6" t="s">
        <v>3381</v>
      </c>
      <c r="B60" s="6" t="s">
        <v>3382</v>
      </c>
      <c r="G60" s="6" t="s">
        <v>3383</v>
      </c>
      <c r="H60" s="9">
        <v>25</v>
      </c>
      <c r="J60" s="56">
        <v>2</v>
      </c>
    </row>
    <row r="61" spans="1:11" s="6" customFormat="1" x14ac:dyDescent="0.25">
      <c r="A61" s="6" t="s">
        <v>3384</v>
      </c>
      <c r="B61" s="6" t="s">
        <v>3385</v>
      </c>
      <c r="C61" s="6" t="s">
        <v>3386</v>
      </c>
      <c r="G61" s="6" t="s">
        <v>3387</v>
      </c>
      <c r="H61" s="9">
        <v>25</v>
      </c>
      <c r="J61" s="56">
        <v>2</v>
      </c>
      <c r="K61" s="6" t="s">
        <v>470</v>
      </c>
    </row>
    <row r="62" spans="1:14" s="6" customFormat="1" x14ac:dyDescent="0.25">
      <c r="A62" s="6" t="s">
        <v>3388</v>
      </c>
      <c r="B62" s="6" t="s">
        <v>3389</v>
      </c>
      <c r="G62" s="6" t="s">
        <v>3390</v>
      </c>
      <c r="H62" s="9">
        <v>25</v>
      </c>
      <c r="J62" s="100">
        <v>0</v>
      </c>
      <c r="K62" s="6" t="s">
        <v>1907</v>
      </c>
      <c r="L62" s="6" t="s">
        <v>3391</v>
      </c>
      <c r="M62" s="6" t="s">
        <v>361</v>
      </c>
      <c r="N62" s="6" t="s">
        <v>470</v>
      </c>
    </row>
    <row r="63" spans="1:10" s="6" customFormat="1" x14ac:dyDescent="0.25">
      <c r="A63" s="6" t="s">
        <v>3392</v>
      </c>
      <c r="B63" s="6" t="s">
        <v>3393</v>
      </c>
      <c r="G63" s="6" t="s">
        <v>3394</v>
      </c>
      <c r="H63" s="9">
        <v>25</v>
      </c>
      <c r="J63" s="56">
        <v>1</v>
      </c>
    </row>
    <row r="64" spans="1:11" s="6" customFormat="1" x14ac:dyDescent="0.25">
      <c r="A64" s="6" t="s">
        <v>3395</v>
      </c>
      <c r="B64" s="6" t="s">
        <v>3396</v>
      </c>
      <c r="G64" s="6" t="s">
        <v>3397</v>
      </c>
      <c r="H64" s="9">
        <v>10</v>
      </c>
      <c r="J64" s="100">
        <v>0</v>
      </c>
      <c r="K64" s="6" t="s">
        <v>470</v>
      </c>
    </row>
    <row r="65" spans="1:10" s="6" customFormat="1" x14ac:dyDescent="0.25">
      <c r="A65" s="6" t="s">
        <v>3398</v>
      </c>
      <c r="B65" s="6" t="s">
        <v>3399</v>
      </c>
      <c r="G65" s="6" t="s">
        <v>3400</v>
      </c>
      <c r="H65" s="9">
        <v>25</v>
      </c>
      <c r="J65" s="56">
        <v>4</v>
      </c>
    </row>
    <row r="66" spans="1:11" s="6" customFormat="1" x14ac:dyDescent="0.25">
      <c r="A66" s="6" t="s">
        <v>3401</v>
      </c>
      <c r="B66" s="6" t="s">
        <v>3402</v>
      </c>
      <c r="G66" s="6" t="s">
        <v>3403</v>
      </c>
      <c r="H66" s="9">
        <v>25</v>
      </c>
      <c r="J66" s="56">
        <v>1</v>
      </c>
      <c r="K66" s="6" t="s">
        <v>464</v>
      </c>
    </row>
    <row r="67" spans="1:10" s="6" customFormat="1" x14ac:dyDescent="0.25">
      <c r="A67" s="6" t="s">
        <v>3404</v>
      </c>
      <c r="B67" s="6" t="s">
        <v>3405</v>
      </c>
      <c r="G67" s="6" t="s">
        <v>3406</v>
      </c>
      <c r="H67" s="9">
        <v>25</v>
      </c>
      <c r="J67" s="56">
        <v>1</v>
      </c>
    </row>
    <row r="68" spans="1:10" s="6" customFormat="1" x14ac:dyDescent="0.25">
      <c r="A68" s="6" t="s">
        <v>3407</v>
      </c>
      <c r="B68" s="6" t="s">
        <v>3408</v>
      </c>
      <c r="G68" s="6" t="s">
        <v>3409</v>
      </c>
      <c r="H68" s="9">
        <v>25</v>
      </c>
      <c r="J68" s="56">
        <v>2</v>
      </c>
    </row>
    <row r="69" spans="1:10" s="6" customFormat="1" x14ac:dyDescent="0.25">
      <c r="A69" s="6" t="s">
        <v>3410</v>
      </c>
      <c r="B69" s="6" t="s">
        <v>3411</v>
      </c>
      <c r="G69" s="6" t="s">
        <v>3412</v>
      </c>
      <c r="H69" s="9">
        <v>10</v>
      </c>
      <c r="J69" s="56">
        <v>2</v>
      </c>
    </row>
    <row r="70" spans="1:12" s="17" customFormat="1" x14ac:dyDescent="0.25">
      <c r="A70" s="17" t="s">
        <v>3413</v>
      </c>
      <c r="B70" s="17" t="s">
        <v>3414</v>
      </c>
      <c r="G70" s="17" t="s">
        <v>3412</v>
      </c>
      <c r="H70" s="100">
        <v>25</v>
      </c>
      <c r="J70" s="100">
        <v>0</v>
      </c>
      <c r="K70" s="17" t="s">
        <v>64</v>
      </c>
      <c r="L70" s="17" t="s">
        <v>162</v>
      </c>
    </row>
    <row r="71" spans="1:11" s="6" customFormat="1" x14ac:dyDescent="0.25">
      <c r="A71" s="6" t="s">
        <v>3415</v>
      </c>
      <c r="B71" s="6" t="s">
        <v>3416</v>
      </c>
      <c r="G71" s="6" t="s">
        <v>3417</v>
      </c>
      <c r="H71" s="9">
        <v>10</v>
      </c>
      <c r="J71" s="100">
        <v>0</v>
      </c>
      <c r="K71" s="6" t="s">
        <v>964</v>
      </c>
    </row>
    <row r="72" spans="1:10" s="6" customFormat="1" x14ac:dyDescent="0.25">
      <c r="A72" s="6" t="s">
        <v>3418</v>
      </c>
      <c r="B72" s="6" t="s">
        <v>3419</v>
      </c>
      <c r="G72" s="6" t="s">
        <v>3417</v>
      </c>
      <c r="H72" s="9">
        <v>25</v>
      </c>
      <c r="J72" s="56">
        <v>1</v>
      </c>
    </row>
    <row r="73" spans="1:10" s="6" customFormat="1" x14ac:dyDescent="0.25">
      <c r="A73" s="6" t="s">
        <v>3420</v>
      </c>
      <c r="B73" s="6" t="s">
        <v>1962</v>
      </c>
      <c r="G73" s="6" t="s">
        <v>3421</v>
      </c>
      <c r="H73" s="9">
        <v>18</v>
      </c>
      <c r="J73" s="56">
        <v>3</v>
      </c>
    </row>
    <row r="74" spans="1:10" s="6" customFormat="1" x14ac:dyDescent="0.25">
      <c r="A74" s="6" t="s">
        <v>3422</v>
      </c>
      <c r="B74" s="6" t="s">
        <v>3423</v>
      </c>
      <c r="G74" s="6" t="s">
        <v>3424</v>
      </c>
      <c r="H74" s="9">
        <v>25</v>
      </c>
      <c r="J74" s="56">
        <v>1</v>
      </c>
    </row>
    <row r="75" spans="2:14" s="17" customFormat="1" x14ac:dyDescent="0.25">
      <c r="B75" s="17" t="s">
        <v>3425</v>
      </c>
      <c r="G75" s="17" t="s">
        <v>3426</v>
      </c>
      <c r="H75" s="100">
        <v>15</v>
      </c>
      <c r="J75" s="100">
        <v>0</v>
      </c>
      <c r="K75" s="17" t="s">
        <v>1793</v>
      </c>
      <c r="L75" s="17" t="s">
        <v>3427</v>
      </c>
      <c r="M75" s="17" t="s">
        <v>257</v>
      </c>
      <c r="N75" s="17" t="s">
        <v>473</v>
      </c>
    </row>
    <row r="76" spans="1:14" s="17" customFormat="1" x14ac:dyDescent="0.25">
      <c r="A76" s="17" t="s">
        <v>3428</v>
      </c>
      <c r="B76" s="17" t="s">
        <v>3429</v>
      </c>
      <c r="G76" s="17" t="s">
        <v>3430</v>
      </c>
      <c r="H76" s="100">
        <v>25</v>
      </c>
      <c r="J76" s="100">
        <v>0</v>
      </c>
      <c r="K76" s="17" t="s">
        <v>3431</v>
      </c>
      <c r="L76" s="17" t="s">
        <v>3432</v>
      </c>
      <c r="M76" s="17" t="s">
        <v>1014</v>
      </c>
      <c r="N76" s="17" t="s">
        <v>940</v>
      </c>
    </row>
    <row r="77" spans="1:10" s="6" customFormat="1" x14ac:dyDescent="0.25">
      <c r="A77" s="6" t="s">
        <v>3433</v>
      </c>
      <c r="B77" s="6" t="s">
        <v>3434</v>
      </c>
      <c r="G77" s="6" t="s">
        <v>3435</v>
      </c>
      <c r="H77" s="9">
        <v>25</v>
      </c>
      <c r="J77" s="56">
        <v>1</v>
      </c>
    </row>
    <row r="78" spans="2:20" x14ac:dyDescent="0.25">
      <c r="B78" s="216" t="s">
        <v>3436</v>
      </c>
      <c r="C78" s="250"/>
      <c r="D78" s="216" t="s">
        <v>3227</v>
      </c>
      <c r="E78" s="214" t="s">
        <v>3222</v>
      </c>
      <c r="F78" s="215"/>
      <c r="G78" s="216" t="s">
        <v>3437</v>
      </c>
      <c r="H78" s="217">
        <v>66</v>
      </c>
      <c r="I78" s="218"/>
      <c r="J78" s="219">
        <v>0</v>
      </c>
      <c r="K78" s="220" t="s">
        <v>3438</v>
      </c>
      <c r="L78" s="221"/>
      <c r="M78" s="216" t="s">
        <v>21</v>
      </c>
      <c r="N78" s="216" t="s">
        <v>1022</v>
      </c>
      <c r="O78" s="216" t="s">
        <v>1022</v>
      </c>
      <c r="P78" s="216" t="s">
        <v>3439</v>
      </c>
      <c r="Q78" s="216" t="s">
        <v>952</v>
      </c>
      <c r="R78" s="216" t="s">
        <v>313</v>
      </c>
      <c r="S78" s="216" t="s">
        <v>501</v>
      </c>
      <c r="T78" s="216" t="s">
        <v>3440</v>
      </c>
    </row>
    <row r="79" spans="1:20" x14ac:dyDescent="0.25">
      <c r="A79" t="s">
        <v>3441</v>
      </c>
      <c r="B79" s="26" t="s">
        <v>3442</v>
      </c>
      <c r="C79" s="27"/>
      <c r="D79" s="26"/>
      <c r="E79" s="29"/>
      <c r="F79" s="30"/>
      <c r="G79" s="26" t="s">
        <v>3443</v>
      </c>
      <c r="H79" s="31">
        <v>25</v>
      </c>
      <c r="I79" s="32"/>
      <c r="J79" s="15">
        <v>0</v>
      </c>
      <c r="K79" s="12" t="s">
        <v>266</v>
      </c>
      <c r="L79" s="33" t="s">
        <v>61</v>
      </c>
      <c r="M79" s="26" t="s">
        <v>1321</v>
      </c>
      <c r="N79" s="12" t="s">
        <v>75</v>
      </c>
      <c r="O79" s="26"/>
      <c r="P79" s="26"/>
      <c r="Q79" s="26"/>
      <c r="R79" s="26"/>
      <c r="S79" s="26"/>
      <c r="T79" s="26"/>
    </row>
    <row r="80" spans="1:20" s="14" customFormat="1" x14ac:dyDescent="0.25">
      <c r="A80" s="4" t="s">
        <v>3444</v>
      </c>
      <c r="B80" s="26" t="s">
        <v>3445</v>
      </c>
      <c r="C80" s="27"/>
      <c r="D80" s="26"/>
      <c r="E80" s="29"/>
      <c r="F80" s="30"/>
      <c r="G80" s="26" t="s">
        <v>3446</v>
      </c>
      <c r="H80" s="31">
        <v>25</v>
      </c>
      <c r="I80" s="32"/>
      <c r="J80" s="11">
        <v>0</v>
      </c>
      <c r="K80" s="33" t="s">
        <v>3447</v>
      </c>
      <c r="L80" s="26" t="s">
        <v>1554</v>
      </c>
      <c r="M80" s="26" t="s">
        <v>1931</v>
      </c>
      <c r="N80" s="26" t="s">
        <v>473</v>
      </c>
      <c r="O80" s="26" t="s">
        <v>3448</v>
      </c>
      <c r="P80" s="26"/>
      <c r="Q80" s="26"/>
      <c r="R80" s="26"/>
      <c r="S80" s="26"/>
      <c r="T80" s="26"/>
    </row>
    <row r="81" spans="2:20" s="16" customFormat="1" x14ac:dyDescent="0.25">
      <c r="B81" s="17" t="s">
        <v>3449</v>
      </c>
      <c r="C81" s="18"/>
      <c r="D81" s="17"/>
      <c r="E81" s="20"/>
      <c r="F81" s="21"/>
      <c r="G81" s="17" t="s">
        <v>3450</v>
      </c>
      <c r="H81" s="22">
        <v>25</v>
      </c>
      <c r="I81" s="23"/>
      <c r="J81" s="15">
        <v>0</v>
      </c>
      <c r="K81" s="24" t="s">
        <v>1875</v>
      </c>
      <c r="L81" s="25" t="s">
        <v>1245</v>
      </c>
      <c r="M81" s="17"/>
      <c r="N81" s="17"/>
      <c r="O81" s="17"/>
      <c r="P81" s="17"/>
      <c r="Q81" s="17"/>
      <c r="R81" s="17"/>
      <c r="S81" s="17"/>
      <c r="T81" s="17"/>
    </row>
    <row r="82" spans="2:20" s="16" customFormat="1" x14ac:dyDescent="0.25">
      <c r="B82" s="17" t="s">
        <v>3451</v>
      </c>
      <c r="C82" s="18"/>
      <c r="D82" s="17"/>
      <c r="E82" s="20"/>
      <c r="F82" s="21"/>
      <c r="G82" s="17" t="s">
        <v>3452</v>
      </c>
      <c r="H82" s="22">
        <v>10</v>
      </c>
      <c r="I82" s="23"/>
      <c r="J82" s="15">
        <v>0</v>
      </c>
      <c r="K82" s="24" t="s">
        <v>3453</v>
      </c>
      <c r="L82" s="25" t="s">
        <v>2438</v>
      </c>
      <c r="M82" s="17" t="s">
        <v>1573</v>
      </c>
      <c r="N82" s="17"/>
      <c r="O82" s="17"/>
      <c r="P82" s="17"/>
      <c r="Q82" s="17"/>
      <c r="R82" s="17"/>
      <c r="S82" s="17"/>
      <c r="T82" s="17"/>
    </row>
    <row r="83" spans="1:20" x14ac:dyDescent="0.25">
      <c r="A83" t="s">
        <v>3454</v>
      </c>
      <c r="B83" s="26" t="s">
        <v>3455</v>
      </c>
      <c r="C83" s="27"/>
      <c r="D83" s="26"/>
      <c r="E83" s="29"/>
      <c r="F83" s="30"/>
      <c r="G83" s="26" t="s">
        <v>3456</v>
      </c>
      <c r="H83" s="31">
        <v>25</v>
      </c>
      <c r="I83" s="32"/>
      <c r="J83" s="11">
        <v>2</v>
      </c>
      <c r="K83" s="12"/>
      <c r="L83" s="33"/>
      <c r="M83" s="26"/>
      <c r="N83" s="26"/>
      <c r="O83" s="26"/>
      <c r="P83" s="26"/>
      <c r="Q83" s="26"/>
      <c r="R83" s="26"/>
      <c r="S83" s="26"/>
      <c r="T83" s="26"/>
    </row>
    <row r="84" spans="2:20" x14ac:dyDescent="0.25">
      <c r="B84" s="26" t="s">
        <v>3457</v>
      </c>
      <c r="C84" s="27"/>
      <c r="D84" s="26"/>
      <c r="E84" s="29"/>
      <c r="F84" s="30"/>
      <c r="G84" s="26" t="s">
        <v>3458</v>
      </c>
      <c r="H84" s="31">
        <v>25</v>
      </c>
      <c r="I84" s="32"/>
      <c r="J84" s="11">
        <v>0</v>
      </c>
      <c r="K84" s="12" t="s">
        <v>1015</v>
      </c>
      <c r="L84" s="33"/>
      <c r="M84" s="26"/>
      <c r="N84" s="26"/>
      <c r="O84" s="26"/>
      <c r="P84" s="26"/>
      <c r="Q84" s="26"/>
      <c r="R84" s="26"/>
      <c r="S84" s="26"/>
      <c r="T84" s="26"/>
    </row>
    <row r="85" spans="1:20" x14ac:dyDescent="0.25">
      <c r="A85" t="s">
        <v>3459</v>
      </c>
      <c r="B85" s="6" t="s">
        <v>3460</v>
      </c>
      <c r="C85" s="6"/>
      <c r="D85" s="6"/>
      <c r="E85" s="6"/>
      <c r="F85" s="6"/>
      <c r="G85" s="6" t="s">
        <v>3461</v>
      </c>
      <c r="H85" s="9">
        <v>10</v>
      </c>
      <c r="I85" s="6"/>
      <c r="J85" s="56">
        <v>1</v>
      </c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 x14ac:dyDescent="0.25">
      <c r="A86" t="s">
        <v>3462</v>
      </c>
      <c r="B86" s="26" t="s">
        <v>3463</v>
      </c>
      <c r="C86" s="27"/>
      <c r="D86" s="26" t="s">
        <v>3464</v>
      </c>
      <c r="E86" s="29" t="s">
        <v>3222</v>
      </c>
      <c r="F86" s="30"/>
      <c r="G86" s="26" t="s">
        <v>3465</v>
      </c>
      <c r="H86" s="31">
        <v>10</v>
      </c>
      <c r="I86" s="32"/>
      <c r="J86" s="11">
        <v>1</v>
      </c>
      <c r="K86" s="12" t="s">
        <v>3466</v>
      </c>
      <c r="L86" s="33" t="s">
        <v>3467</v>
      </c>
      <c r="M86" s="26" t="s">
        <v>21</v>
      </c>
      <c r="N86" s="26" t="s">
        <v>1409</v>
      </c>
      <c r="O86" s="26" t="s">
        <v>823</v>
      </c>
      <c r="P86" s="26" t="s">
        <v>565</v>
      </c>
      <c r="Q86" s="26" t="s">
        <v>441</v>
      </c>
      <c r="R86" s="26"/>
      <c r="S86" s="26"/>
      <c r="T86" s="26"/>
    </row>
    <row r="87" spans="1:20" s="16" customFormat="1" x14ac:dyDescent="0.25">
      <c r="A87" s="16" t="s">
        <v>3468</v>
      </c>
      <c r="B87" s="17" t="s">
        <v>3469</v>
      </c>
      <c r="C87" s="17"/>
      <c r="D87" s="17"/>
      <c r="E87" s="17"/>
      <c r="F87" s="17"/>
      <c r="G87" s="17" t="s">
        <v>3470</v>
      </c>
      <c r="H87" s="100">
        <v>25</v>
      </c>
      <c r="I87" s="17"/>
      <c r="J87" s="100">
        <v>0</v>
      </c>
      <c r="K87" s="17" t="s">
        <v>212</v>
      </c>
      <c r="L87" s="17"/>
      <c r="M87" s="17"/>
      <c r="N87" s="17"/>
      <c r="O87" s="17"/>
      <c r="P87" s="17"/>
      <c r="Q87" s="17"/>
      <c r="R87" s="17"/>
      <c r="S87" s="17"/>
      <c r="T87" s="17"/>
    </row>
    <row r="88" spans="1:20" x14ac:dyDescent="0.25">
      <c r="A88" t="s">
        <v>3471</v>
      </c>
      <c r="B88" s="6" t="s">
        <v>3472</v>
      </c>
      <c r="C88" s="6"/>
      <c r="D88" s="6"/>
      <c r="E88" s="6"/>
      <c r="F88" s="6"/>
      <c r="G88" s="6" t="s">
        <v>3473</v>
      </c>
      <c r="H88" s="9">
        <v>25</v>
      </c>
      <c r="I88" s="6"/>
      <c r="J88" s="56">
        <v>2</v>
      </c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2:20" x14ac:dyDescent="0.25">
      <c r="B89" s="26" t="s">
        <v>3474</v>
      </c>
      <c r="C89" s="27"/>
      <c r="D89" s="26"/>
      <c r="E89" s="29"/>
      <c r="F89" s="30"/>
      <c r="G89" s="26" t="s">
        <v>3475</v>
      </c>
      <c r="H89" s="31">
        <v>10</v>
      </c>
      <c r="I89" s="32"/>
      <c r="J89" s="15">
        <v>0</v>
      </c>
      <c r="K89" s="12"/>
      <c r="L89" s="33"/>
      <c r="M89" s="26"/>
      <c r="N89" s="26"/>
      <c r="O89" s="26"/>
      <c r="P89" s="26"/>
      <c r="Q89" s="26"/>
      <c r="R89" s="26"/>
      <c r="S89" s="26"/>
      <c r="T89" s="26"/>
    </row>
    <row r="90" spans="1:20" x14ac:dyDescent="0.25">
      <c r="A90" t="s">
        <v>3476</v>
      </c>
      <c r="B90" s="6" t="s">
        <v>3477</v>
      </c>
      <c r="C90" s="6"/>
      <c r="D90" s="6"/>
      <c r="E90" s="6"/>
      <c r="F90" s="6"/>
      <c r="G90" s="6" t="s">
        <v>3478</v>
      </c>
      <c r="H90" s="9">
        <v>25</v>
      </c>
      <c r="I90" s="6"/>
      <c r="J90" s="100">
        <v>0</v>
      </c>
      <c r="K90" s="6" t="s">
        <v>404</v>
      </c>
      <c r="L90" s="6"/>
      <c r="M90" s="6"/>
      <c r="N90" s="6"/>
      <c r="O90" s="6"/>
      <c r="P90" s="6"/>
      <c r="Q90" s="6"/>
      <c r="R90" s="6"/>
      <c r="S90" s="6"/>
      <c r="T90" s="6"/>
    </row>
    <row r="91" spans="2:20" s="16" customFormat="1" x14ac:dyDescent="0.25">
      <c r="B91" s="17" t="s">
        <v>3479</v>
      </c>
      <c r="C91" s="18"/>
      <c r="D91" s="17"/>
      <c r="E91" s="20"/>
      <c r="F91" s="21"/>
      <c r="G91" s="17" t="s">
        <v>3480</v>
      </c>
      <c r="H91" s="22">
        <v>15</v>
      </c>
      <c r="I91" s="23"/>
      <c r="J91" s="15">
        <v>0</v>
      </c>
      <c r="K91" s="24" t="s">
        <v>382</v>
      </c>
      <c r="L91" s="25"/>
      <c r="M91" s="17"/>
      <c r="N91" s="17"/>
      <c r="O91" s="17"/>
      <c r="P91" s="17"/>
      <c r="Q91" s="17"/>
      <c r="R91" s="17"/>
      <c r="S91" s="17"/>
      <c r="T91" s="17"/>
    </row>
    <row r="92" spans="1:20" x14ac:dyDescent="0.25">
      <c r="A92" t="s">
        <v>3481</v>
      </c>
      <c r="B92" s="26" t="s">
        <v>3482</v>
      </c>
      <c r="C92" s="27"/>
      <c r="D92" s="26"/>
      <c r="E92" s="29"/>
      <c r="F92" s="30"/>
      <c r="G92" s="26" t="s">
        <v>3483</v>
      </c>
      <c r="H92" s="31">
        <v>15</v>
      </c>
      <c r="I92" s="32"/>
      <c r="J92" s="11">
        <v>0</v>
      </c>
      <c r="K92" s="12" t="s">
        <v>3484</v>
      </c>
      <c r="L92" s="33"/>
      <c r="M92" s="26"/>
      <c r="N92" s="26"/>
      <c r="O92" s="26"/>
      <c r="P92" s="26"/>
      <c r="Q92" s="26"/>
      <c r="R92" s="26"/>
      <c r="S92" s="26"/>
      <c r="T92" s="26"/>
    </row>
    <row r="93" spans="1:20" x14ac:dyDescent="0.25">
      <c r="A93" t="s">
        <v>3485</v>
      </c>
      <c r="B93" s="26" t="s">
        <v>3486</v>
      </c>
      <c r="C93" s="27"/>
      <c r="D93" s="26"/>
      <c r="E93" s="29"/>
      <c r="F93" s="30"/>
      <c r="G93" s="26" t="s">
        <v>3487</v>
      </c>
      <c r="H93" s="31">
        <v>25</v>
      </c>
      <c r="I93" s="32"/>
      <c r="J93" s="11">
        <v>1</v>
      </c>
      <c r="K93" s="12" t="s">
        <v>75</v>
      </c>
      <c r="L93" s="33"/>
      <c r="M93" s="26"/>
      <c r="N93" s="26"/>
      <c r="O93" s="26"/>
      <c r="P93" s="26"/>
      <c r="Q93" s="26"/>
      <c r="R93" s="26"/>
      <c r="S93" s="26"/>
      <c r="T93" s="26"/>
    </row>
    <row r="94" spans="2:20" s="16" customFormat="1" x14ac:dyDescent="0.25">
      <c r="B94" s="17" t="s">
        <v>3488</v>
      </c>
      <c r="C94" s="18" t="s">
        <v>3489</v>
      </c>
      <c r="D94" s="17" t="s">
        <v>3227</v>
      </c>
      <c r="E94" s="20" t="s">
        <v>3222</v>
      </c>
      <c r="F94" s="21"/>
      <c r="G94" s="17" t="s">
        <v>3490</v>
      </c>
      <c r="H94" s="22">
        <v>20</v>
      </c>
      <c r="I94" s="23"/>
      <c r="J94" s="15">
        <v>0</v>
      </c>
      <c r="K94" s="24" t="s">
        <v>3491</v>
      </c>
      <c r="L94" s="25" t="s">
        <v>3447</v>
      </c>
      <c r="M94" s="17" t="s">
        <v>260</v>
      </c>
      <c r="N94" s="17" t="s">
        <v>234</v>
      </c>
      <c r="O94" s="17" t="s">
        <v>1547</v>
      </c>
      <c r="P94" s="17" t="s">
        <v>806</v>
      </c>
      <c r="Q94" s="17"/>
      <c r="R94" s="17"/>
      <c r="S94" s="17"/>
      <c r="T94" s="17"/>
    </row>
    <row r="95" spans="1:20" x14ac:dyDescent="0.25">
      <c r="A95" t="s">
        <v>3492</v>
      </c>
      <c r="B95" s="6" t="s">
        <v>3493</v>
      </c>
      <c r="C95" s="6"/>
      <c r="D95" s="6"/>
      <c r="E95" s="6"/>
      <c r="F95" s="6"/>
      <c r="G95" s="6" t="s">
        <v>3494</v>
      </c>
      <c r="H95" s="9">
        <v>25</v>
      </c>
      <c r="I95" s="6"/>
      <c r="J95" s="56">
        <v>1</v>
      </c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 x14ac:dyDescent="0.25">
      <c r="A96" t="s">
        <v>3495</v>
      </c>
      <c r="B96" s="6" t="s">
        <v>3496</v>
      </c>
      <c r="C96" s="6"/>
      <c r="D96" s="6"/>
      <c r="E96" s="6"/>
      <c r="F96" s="6"/>
      <c r="G96" s="6" t="s">
        <v>3497</v>
      </c>
      <c r="H96" s="9">
        <v>20</v>
      </c>
      <c r="I96" s="6"/>
      <c r="J96" s="100">
        <v>0</v>
      </c>
      <c r="K96" s="6" t="s">
        <v>292</v>
      </c>
      <c r="L96" s="6"/>
      <c r="M96" s="6"/>
      <c r="N96" s="6"/>
      <c r="O96" s="6"/>
      <c r="P96" s="6"/>
      <c r="Q96" s="6"/>
      <c r="R96" s="6"/>
      <c r="S96" s="6"/>
      <c r="T96" s="6"/>
    </row>
    <row r="97" spans="2:20" x14ac:dyDescent="0.25">
      <c r="B97" s="6" t="s">
        <v>3498</v>
      </c>
      <c r="C97" s="6"/>
      <c r="D97" s="6"/>
      <c r="E97" s="6"/>
      <c r="F97" s="6"/>
      <c r="G97" s="6" t="s">
        <v>3499</v>
      </c>
      <c r="H97" s="9">
        <v>20</v>
      </c>
      <c r="I97" s="6"/>
      <c r="J97" s="100">
        <v>0</v>
      </c>
      <c r="K97" s="6" t="s">
        <v>46</v>
      </c>
      <c r="L97" s="6"/>
      <c r="M97" s="6"/>
      <c r="N97" s="6"/>
      <c r="O97" s="6"/>
      <c r="P97" s="6"/>
      <c r="Q97" s="6"/>
      <c r="R97" s="6"/>
      <c r="S97" s="6"/>
      <c r="T97" s="6"/>
    </row>
    <row r="98" spans="2:20" x14ac:dyDescent="0.25">
      <c r="B98" s="6" t="s">
        <v>3500</v>
      </c>
      <c r="C98" s="6"/>
      <c r="D98" s="6"/>
      <c r="E98" s="6"/>
      <c r="F98" s="6"/>
      <c r="G98" s="6" t="s">
        <v>3501</v>
      </c>
      <c r="H98" s="9">
        <v>20</v>
      </c>
      <c r="I98" s="6"/>
      <c r="J98" s="56">
        <v>1</v>
      </c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x14ac:dyDescent="0.25">
      <c r="A99" t="s">
        <v>3502</v>
      </c>
      <c r="B99" s="6" t="s">
        <v>3503</v>
      </c>
      <c r="C99" s="6"/>
      <c r="D99" s="6"/>
      <c r="E99" s="6"/>
      <c r="F99" s="6"/>
      <c r="G99" s="6" t="s">
        <v>3504</v>
      </c>
      <c r="H99" s="9">
        <v>25</v>
      </c>
      <c r="I99" s="6"/>
      <c r="J99" s="56">
        <v>3</v>
      </c>
      <c r="K99" s="6" t="s">
        <v>3505</v>
      </c>
      <c r="L99" s="6"/>
      <c r="M99" s="6"/>
      <c r="N99" s="6"/>
      <c r="O99" s="6"/>
      <c r="P99" s="6"/>
      <c r="Q99" s="6"/>
      <c r="R99" s="6"/>
      <c r="S99" s="6"/>
      <c r="T99" s="6"/>
    </row>
    <row r="100" spans="1:20" x14ac:dyDescent="0.25">
      <c r="A100" t="s">
        <v>3506</v>
      </c>
      <c r="B100" s="6" t="s">
        <v>3507</v>
      </c>
      <c r="C100" s="6"/>
      <c r="D100" s="6"/>
      <c r="E100" s="6"/>
      <c r="F100" s="6"/>
      <c r="G100" s="6" t="s">
        <v>3508</v>
      </c>
      <c r="H100" s="9">
        <v>25</v>
      </c>
      <c r="I100" s="6"/>
      <c r="J100" s="100">
        <v>0</v>
      </c>
      <c r="K100" s="6" t="s">
        <v>284</v>
      </c>
      <c r="L100" s="6"/>
      <c r="M100" s="6"/>
      <c r="N100" s="6"/>
      <c r="O100" s="6"/>
      <c r="P100" s="6"/>
      <c r="Q100" s="6"/>
      <c r="R100" s="6"/>
      <c r="S100" s="6"/>
      <c r="T100" s="6"/>
    </row>
    <row r="101" spans="1:20" x14ac:dyDescent="0.25">
      <c r="A101" t="s">
        <v>3509</v>
      </c>
      <c r="B101" s="26" t="s">
        <v>3510</v>
      </c>
      <c r="C101" s="27"/>
      <c r="D101" s="26"/>
      <c r="E101" s="29"/>
      <c r="F101" s="30"/>
      <c r="G101" s="26" t="s">
        <v>3511</v>
      </c>
      <c r="H101" s="31">
        <v>25</v>
      </c>
      <c r="I101" s="32"/>
      <c r="J101" s="11">
        <v>2</v>
      </c>
      <c r="K101" s="12"/>
      <c r="L101" s="33"/>
      <c r="M101" s="26"/>
      <c r="N101" s="26"/>
      <c r="O101" s="26"/>
      <c r="P101" s="26"/>
      <c r="Q101" s="26"/>
      <c r="R101" s="26"/>
      <c r="S101" s="26"/>
      <c r="T101" s="26"/>
    </row>
    <row r="102" spans="2:20" s="16" customFormat="1" x14ac:dyDescent="0.25">
      <c r="B102" s="17" t="s">
        <v>3512</v>
      </c>
      <c r="C102" s="18"/>
      <c r="D102" s="17"/>
      <c r="E102" s="20"/>
      <c r="F102" s="21"/>
      <c r="G102" s="17" t="s">
        <v>3513</v>
      </c>
      <c r="H102" s="22">
        <v>25</v>
      </c>
      <c r="I102" s="23"/>
      <c r="J102" s="15">
        <v>0</v>
      </c>
      <c r="K102" s="24" t="s">
        <v>3514</v>
      </c>
      <c r="L102" s="25"/>
      <c r="M102" s="17"/>
      <c r="N102" s="17"/>
      <c r="O102" s="17"/>
      <c r="P102" s="17"/>
      <c r="Q102" s="17"/>
      <c r="R102" s="17"/>
      <c r="S102" s="17"/>
      <c r="T102" s="17"/>
    </row>
    <row r="103" spans="1:20" x14ac:dyDescent="0.25">
      <c r="A103" t="s">
        <v>3515</v>
      </c>
      <c r="B103" s="26" t="s">
        <v>3516</v>
      </c>
      <c r="C103" s="27"/>
      <c r="D103" s="26"/>
      <c r="E103" s="29"/>
      <c r="F103" s="30"/>
      <c r="G103" s="26" t="s">
        <v>3513</v>
      </c>
      <c r="H103" s="31">
        <v>10</v>
      </c>
      <c r="I103" s="32"/>
      <c r="J103" s="11">
        <v>2</v>
      </c>
      <c r="K103" s="12" t="s">
        <v>158</v>
      </c>
      <c r="L103" s="33"/>
      <c r="M103" s="26"/>
      <c r="N103" s="26"/>
      <c r="O103" s="26"/>
      <c r="P103" s="26"/>
      <c r="Q103" s="26"/>
      <c r="R103" s="26"/>
      <c r="S103" s="26"/>
      <c r="T103" s="26"/>
    </row>
    <row r="104" spans="1:20" x14ac:dyDescent="0.25">
      <c r="A104" t="s">
        <v>3517</v>
      </c>
      <c r="B104" s="6" t="s">
        <v>3518</v>
      </c>
      <c r="C104" s="6"/>
      <c r="D104" s="6"/>
      <c r="E104" s="6"/>
      <c r="F104" s="6"/>
      <c r="G104" s="6" t="s">
        <v>3519</v>
      </c>
      <c r="H104" s="9">
        <v>25</v>
      </c>
      <c r="I104" s="6"/>
      <c r="J104" s="56">
        <v>1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2:20" s="16" customFormat="1" x14ac:dyDescent="0.25">
      <c r="B105" s="17" t="s">
        <v>3520</v>
      </c>
      <c r="C105" s="17"/>
      <c r="D105" s="17"/>
      <c r="E105" s="17"/>
      <c r="F105" s="17"/>
      <c r="G105" s="17" t="s">
        <v>3521</v>
      </c>
      <c r="H105" s="100">
        <v>25</v>
      </c>
      <c r="I105" s="17"/>
      <c r="J105" s="100">
        <v>0</v>
      </c>
      <c r="K105" s="17" t="s">
        <v>267</v>
      </c>
      <c r="L105" s="19">
        <v>45831</v>
      </c>
      <c r="M105" s="17"/>
      <c r="N105" s="17"/>
      <c r="O105" s="17"/>
      <c r="P105" s="17"/>
      <c r="Q105" s="17"/>
      <c r="R105" s="17"/>
      <c r="S105" s="17"/>
      <c r="T105" s="17"/>
    </row>
    <row r="106" spans="2:20" s="16" customFormat="1" x14ac:dyDescent="0.25">
      <c r="B106" s="251" t="s">
        <v>3522</v>
      </c>
      <c r="C106" s="251"/>
      <c r="D106" s="251"/>
      <c r="E106" s="251"/>
      <c r="F106" s="251"/>
      <c r="G106" s="251" t="s">
        <v>3523</v>
      </c>
      <c r="H106" s="252">
        <v>25</v>
      </c>
      <c r="I106" s="251"/>
      <c r="J106" s="252">
        <v>0</v>
      </c>
      <c r="K106" s="251" t="s">
        <v>2534</v>
      </c>
      <c r="L106" s="251"/>
      <c r="M106" s="251"/>
      <c r="N106" s="251"/>
      <c r="O106" s="251"/>
      <c r="P106" s="251"/>
      <c r="Q106" s="251"/>
      <c r="R106" s="251"/>
      <c r="S106" s="251"/>
      <c r="T106" s="251"/>
    </row>
    <row r="107" spans="1:10" s="6" customFormat="1" x14ac:dyDescent="0.25">
      <c r="A107" s="6" t="s">
        <v>3524</v>
      </c>
      <c r="B107" s="6" t="s">
        <v>3525</v>
      </c>
      <c r="G107" s="6" t="s">
        <v>3526</v>
      </c>
      <c r="H107" s="9">
        <v>20</v>
      </c>
      <c r="J107" s="56">
        <v>3</v>
      </c>
    </row>
    <row r="108" spans="1:10" s="6" customFormat="1" x14ac:dyDescent="0.25">
      <c r="A108" s="6" t="s">
        <v>3527</v>
      </c>
      <c r="B108" s="6" t="s">
        <v>3528</v>
      </c>
      <c r="G108" s="6" t="s">
        <v>3529</v>
      </c>
      <c r="H108" s="9">
        <v>20</v>
      </c>
      <c r="J108" s="56">
        <v>1</v>
      </c>
    </row>
    <row r="109" spans="1:10" s="6" customFormat="1" x14ac:dyDescent="0.25">
      <c r="A109" s="6" t="s">
        <v>3530</v>
      </c>
      <c r="B109" s="6" t="s">
        <v>3531</v>
      </c>
      <c r="G109" s="6" t="s">
        <v>3532</v>
      </c>
      <c r="H109" s="9">
        <v>10</v>
      </c>
      <c r="J109" s="56">
        <v>1</v>
      </c>
    </row>
    <row r="110" spans="1:10" s="6" customFormat="1" x14ac:dyDescent="0.25">
      <c r="A110" s="6" t="s">
        <v>3533</v>
      </c>
      <c r="B110" s="6" t="s">
        <v>3534</v>
      </c>
      <c r="G110" s="6" t="s">
        <v>3535</v>
      </c>
      <c r="H110" s="9">
        <v>25</v>
      </c>
      <c r="J110" s="56">
        <v>2</v>
      </c>
    </row>
    <row r="111" spans="1:20" x14ac:dyDescent="0.25">
      <c r="A111" t="s">
        <v>3536</v>
      </c>
      <c r="B111" s="253" t="s">
        <v>3537</v>
      </c>
      <c r="C111" s="253"/>
      <c r="D111" s="253"/>
      <c r="E111" s="253"/>
      <c r="F111" s="253"/>
      <c r="G111" s="253" t="s">
        <v>3538</v>
      </c>
      <c r="H111" s="254">
        <v>10</v>
      </c>
      <c r="I111" s="253"/>
      <c r="J111" s="255">
        <v>2</v>
      </c>
      <c r="K111" s="253"/>
      <c r="L111" s="253"/>
      <c r="M111" s="253"/>
      <c r="N111" s="253"/>
      <c r="O111" s="253"/>
      <c r="P111" s="253"/>
      <c r="Q111" s="253"/>
      <c r="R111" s="253"/>
      <c r="S111" s="253"/>
      <c r="T111" s="253"/>
    </row>
    <row r="112" spans="1:20" x14ac:dyDescent="0.25">
      <c r="A112" t="s">
        <v>3539</v>
      </c>
      <c r="B112" s="216" t="s">
        <v>3540</v>
      </c>
      <c r="C112" s="250"/>
      <c r="D112" s="216"/>
      <c r="E112" s="214"/>
      <c r="F112" s="215"/>
      <c r="G112" s="216" t="s">
        <v>3541</v>
      </c>
      <c r="H112" s="217">
        <v>10</v>
      </c>
      <c r="I112" s="218"/>
      <c r="J112" s="256">
        <v>2</v>
      </c>
      <c r="K112" s="220"/>
      <c r="L112" s="221"/>
      <c r="M112" s="216"/>
      <c r="N112" s="216"/>
      <c r="O112" s="216"/>
      <c r="P112" s="216"/>
      <c r="Q112" s="216"/>
      <c r="R112" s="216"/>
      <c r="S112" s="216"/>
      <c r="T112" s="216"/>
    </row>
    <row r="113" spans="1:20" x14ac:dyDescent="0.25">
      <c r="A113" t="s">
        <v>3542</v>
      </c>
      <c r="B113" s="216" t="s">
        <v>3543</v>
      </c>
      <c r="C113" s="250"/>
      <c r="D113" s="216"/>
      <c r="E113" s="214"/>
      <c r="F113" s="215"/>
      <c r="G113" s="216" t="s">
        <v>3541</v>
      </c>
      <c r="H113" s="217">
        <v>25</v>
      </c>
      <c r="I113" s="218"/>
      <c r="J113" s="256">
        <v>2</v>
      </c>
      <c r="K113" s="220"/>
      <c r="L113" s="221"/>
      <c r="M113" s="216"/>
      <c r="N113" s="216"/>
      <c r="O113" s="216"/>
      <c r="P113" s="216"/>
      <c r="Q113" s="216"/>
      <c r="R113" s="216"/>
      <c r="S113" s="216"/>
      <c r="T113" s="216"/>
    </row>
    <row r="114" spans="1:20" x14ac:dyDescent="0.25">
      <c r="A114" t="s">
        <v>3544</v>
      </c>
      <c r="B114" s="26" t="s">
        <v>3545</v>
      </c>
      <c r="C114" s="27"/>
      <c r="D114" s="26"/>
      <c r="E114" s="29"/>
      <c r="F114" s="30"/>
      <c r="G114" s="26" t="s">
        <v>3546</v>
      </c>
      <c r="H114" s="31">
        <v>10</v>
      </c>
      <c r="I114" s="32"/>
      <c r="J114" s="11">
        <v>2</v>
      </c>
      <c r="K114" s="12"/>
      <c r="L114" s="33"/>
      <c r="M114" s="26"/>
      <c r="N114" s="26"/>
      <c r="O114" s="26"/>
      <c r="P114" s="26"/>
      <c r="Q114" s="26"/>
      <c r="R114" s="26"/>
      <c r="S114" s="26"/>
      <c r="T114" s="26"/>
    </row>
    <row r="115" spans="1:20" x14ac:dyDescent="0.25">
      <c r="A115" t="s">
        <v>3547</v>
      </c>
      <c r="B115" s="26" t="s">
        <v>3548</v>
      </c>
      <c r="C115" s="27"/>
      <c r="D115" s="26"/>
      <c r="E115" s="29"/>
      <c r="F115" s="30"/>
      <c r="G115" s="26" t="s">
        <v>3549</v>
      </c>
      <c r="H115" s="31">
        <v>10</v>
      </c>
      <c r="I115" s="32"/>
      <c r="J115" s="15">
        <v>1</v>
      </c>
      <c r="K115" s="12" t="s">
        <v>250</v>
      </c>
      <c r="L115" s="33"/>
      <c r="M115" s="26"/>
      <c r="N115" s="26"/>
      <c r="O115" s="26"/>
      <c r="P115" s="26"/>
      <c r="Q115" s="26"/>
      <c r="R115" s="26"/>
      <c r="S115" s="26"/>
      <c r="T115" s="26"/>
    </row>
    <row r="116" spans="1:20" x14ac:dyDescent="0.25">
      <c r="A116" t="s">
        <v>3550</v>
      </c>
      <c r="B116" s="26" t="s">
        <v>3551</v>
      </c>
      <c r="C116" s="27"/>
      <c r="D116" s="26"/>
      <c r="E116" s="29"/>
      <c r="F116" s="30"/>
      <c r="G116" s="26" t="s">
        <v>3552</v>
      </c>
      <c r="H116" s="31">
        <v>25</v>
      </c>
      <c r="I116" s="32"/>
      <c r="J116" s="11">
        <v>1</v>
      </c>
      <c r="K116" s="12"/>
      <c r="L116" s="33"/>
      <c r="M116" s="26"/>
      <c r="N116" s="26"/>
      <c r="O116" s="26"/>
      <c r="P116" s="26"/>
      <c r="Q116" s="26"/>
      <c r="R116" s="26"/>
      <c r="S116" s="26"/>
      <c r="T116" s="26"/>
    </row>
    <row r="117" spans="1:20" x14ac:dyDescent="0.25">
      <c r="A117" t="s">
        <v>3553</v>
      </c>
      <c r="B117" s="26" t="s">
        <v>3554</v>
      </c>
      <c r="C117" s="27"/>
      <c r="D117" s="26"/>
      <c r="E117" s="29"/>
      <c r="F117" s="30"/>
      <c r="G117" s="26" t="s">
        <v>3555</v>
      </c>
      <c r="H117" s="31">
        <v>10</v>
      </c>
      <c r="I117" s="32"/>
      <c r="J117" s="11">
        <v>1</v>
      </c>
      <c r="K117" s="12"/>
      <c r="L117" s="33"/>
      <c r="M117" s="26"/>
      <c r="N117" s="26"/>
      <c r="O117" s="26"/>
      <c r="P117" s="26"/>
      <c r="Q117" s="26"/>
      <c r="R117" s="26"/>
      <c r="S117" s="26"/>
      <c r="T117" s="26"/>
    </row>
    <row r="118" spans="1:20" x14ac:dyDescent="0.25">
      <c r="A118" t="s">
        <v>3556</v>
      </c>
      <c r="B118" s="26" t="s">
        <v>3557</v>
      </c>
      <c r="C118" s="27"/>
      <c r="D118" s="26"/>
      <c r="E118" s="29" t="s">
        <v>3222</v>
      </c>
      <c r="F118" s="30"/>
      <c r="G118" s="26" t="s">
        <v>3558</v>
      </c>
      <c r="H118" s="31">
        <v>25</v>
      </c>
      <c r="I118" s="32"/>
      <c r="J118" s="37">
        <v>4</v>
      </c>
      <c r="K118" s="12" t="s">
        <v>3559</v>
      </c>
      <c r="L118" s="33" t="s">
        <v>3560</v>
      </c>
      <c r="M118" s="26" t="s">
        <v>3561</v>
      </c>
      <c r="N118" s="26" t="s">
        <v>1587</v>
      </c>
      <c r="O118" s="26" t="s">
        <v>3562</v>
      </c>
      <c r="P118" s="26" t="s">
        <v>3563</v>
      </c>
      <c r="Q118" s="26" t="s">
        <v>3564</v>
      </c>
      <c r="R118" s="26" t="s">
        <v>2534</v>
      </c>
      <c r="S118" s="26" t="s">
        <v>3565</v>
      </c>
      <c r="T118" s="26"/>
    </row>
    <row r="119" spans="1:21" x14ac:dyDescent="0.25">
      <c r="A119" t="s">
        <v>3566</v>
      </c>
      <c r="B119" s="26" t="s">
        <v>3567</v>
      </c>
      <c r="C119" s="27"/>
      <c r="D119" s="26" t="s">
        <v>3568</v>
      </c>
      <c r="E119" s="29" t="s">
        <v>3222</v>
      </c>
      <c r="F119" s="30"/>
      <c r="G119" s="26" t="s">
        <v>3569</v>
      </c>
      <c r="H119" s="31">
        <v>25</v>
      </c>
      <c r="I119" s="32"/>
      <c r="J119" s="37">
        <v>0</v>
      </c>
      <c r="K119" s="12" t="s">
        <v>659</v>
      </c>
      <c r="L119" s="33" t="s">
        <v>485</v>
      </c>
      <c r="M119" s="26" t="s">
        <v>920</v>
      </c>
      <c r="N119" s="26" t="s">
        <v>433</v>
      </c>
      <c r="O119" s="26" t="s">
        <v>1908</v>
      </c>
      <c r="P119" s="26" t="s">
        <v>3570</v>
      </c>
      <c r="Q119" s="26" t="s">
        <v>212</v>
      </c>
      <c r="R119" s="26"/>
      <c r="S119" s="26" t="s">
        <v>370</v>
      </c>
      <c r="T119" s="26" t="s">
        <v>659</v>
      </c>
      <c r="U119" s="4"/>
    </row>
    <row r="120" spans="1:20" x14ac:dyDescent="0.25">
      <c r="A120" t="s">
        <v>3571</v>
      </c>
      <c r="B120" s="26" t="s">
        <v>3572</v>
      </c>
      <c r="C120" s="27"/>
      <c r="D120" s="26"/>
      <c r="E120" s="29" t="s">
        <v>3222</v>
      </c>
      <c r="F120" s="30"/>
      <c r="G120" s="26" t="s">
        <v>3573</v>
      </c>
      <c r="H120" s="31">
        <v>25</v>
      </c>
      <c r="I120" s="32"/>
      <c r="J120" s="37">
        <v>4</v>
      </c>
      <c r="K120" s="12" t="s">
        <v>2327</v>
      </c>
      <c r="L120" s="33" t="s">
        <v>362</v>
      </c>
      <c r="M120" s="26"/>
      <c r="N120" s="26" t="s">
        <v>3574</v>
      </c>
      <c r="O120" s="26" t="s">
        <v>3575</v>
      </c>
      <c r="P120" s="26" t="s">
        <v>1514</v>
      </c>
      <c r="Q120" s="26" t="s">
        <v>3576</v>
      </c>
      <c r="R120" s="26" t="s">
        <v>3577</v>
      </c>
      <c r="S120" s="26" t="s">
        <v>3578</v>
      </c>
      <c r="T120" s="26" t="s">
        <v>121</v>
      </c>
    </row>
    <row r="121" spans="1:20" x14ac:dyDescent="0.25">
      <c r="A121" t="s">
        <v>3579</v>
      </c>
      <c r="B121" s="26" t="s">
        <v>3572</v>
      </c>
      <c r="C121" s="27"/>
      <c r="D121" s="26"/>
      <c r="E121" s="29" t="s">
        <v>3222</v>
      </c>
      <c r="F121" s="30"/>
      <c r="G121" s="26" t="s">
        <v>3580</v>
      </c>
      <c r="H121" s="31">
        <v>10</v>
      </c>
      <c r="I121" s="32"/>
      <c r="J121" s="37">
        <v>15</v>
      </c>
      <c r="K121" s="12" t="s">
        <v>3581</v>
      </c>
      <c r="L121" s="33"/>
      <c r="M121" s="26"/>
      <c r="N121" s="26"/>
      <c r="O121" s="26"/>
      <c r="P121" s="26"/>
      <c r="Q121" s="26"/>
      <c r="R121" s="26"/>
      <c r="S121" s="26"/>
      <c r="T121" s="26"/>
    </row>
    <row r="122" spans="2:20" s="16" customFormat="1" x14ac:dyDescent="0.25">
      <c r="B122" s="17" t="s">
        <v>3582</v>
      </c>
      <c r="C122" s="18"/>
      <c r="D122" s="17"/>
      <c r="E122" s="20"/>
      <c r="F122" s="21"/>
      <c r="G122" s="17" t="s">
        <v>3583</v>
      </c>
      <c r="H122" s="22">
        <v>25</v>
      </c>
      <c r="I122" s="23"/>
      <c r="J122" s="96">
        <v>0</v>
      </c>
      <c r="K122" s="24" t="s">
        <v>3584</v>
      </c>
      <c r="L122" s="25"/>
      <c r="M122" s="17"/>
      <c r="N122" s="17"/>
      <c r="O122" s="17"/>
      <c r="P122" s="17"/>
      <c r="Q122" s="17"/>
      <c r="R122" s="17"/>
      <c r="S122" s="17"/>
      <c r="T122" s="17"/>
    </row>
    <row r="123" spans="1:20" x14ac:dyDescent="0.25">
      <c r="A123" t="s">
        <v>3585</v>
      </c>
      <c r="B123" s="26" t="s">
        <v>3586</v>
      </c>
      <c r="C123" s="27"/>
      <c r="D123" s="26"/>
      <c r="E123" s="29"/>
      <c r="F123" s="30"/>
      <c r="G123" s="26" t="s">
        <v>3587</v>
      </c>
      <c r="H123" s="31">
        <v>10</v>
      </c>
      <c r="I123" s="32"/>
      <c r="J123" s="37">
        <v>1</v>
      </c>
      <c r="K123" s="12"/>
      <c r="L123" s="33"/>
      <c r="M123" s="26"/>
      <c r="N123" s="26"/>
      <c r="O123" s="26"/>
      <c r="P123" s="26"/>
      <c r="Q123" s="26"/>
      <c r="R123" s="26"/>
      <c r="S123" s="26"/>
      <c r="T123" s="26"/>
    </row>
    <row r="124" spans="1:20" x14ac:dyDescent="0.25">
      <c r="A124" t="s">
        <v>3588</v>
      </c>
      <c r="B124" s="26" t="s">
        <v>3589</v>
      </c>
      <c r="C124" s="27"/>
      <c r="D124" s="26"/>
      <c r="E124" s="29"/>
      <c r="F124" s="30"/>
      <c r="G124" s="26" t="s">
        <v>3590</v>
      </c>
      <c r="H124" s="31">
        <v>25</v>
      </c>
      <c r="I124" s="32"/>
      <c r="J124" s="37">
        <v>2</v>
      </c>
      <c r="K124" s="12"/>
      <c r="L124" s="33"/>
      <c r="M124" s="26"/>
      <c r="N124" s="26"/>
      <c r="O124" s="26"/>
      <c r="P124" s="26"/>
      <c r="Q124" s="26"/>
      <c r="R124" s="26"/>
      <c r="S124" s="26"/>
      <c r="T124" s="26"/>
    </row>
    <row r="125" spans="1:20" x14ac:dyDescent="0.25">
      <c r="A125" t="s">
        <v>3591</v>
      </c>
      <c r="B125" s="26" t="s">
        <v>3592</v>
      </c>
      <c r="C125" s="27"/>
      <c r="D125" s="26"/>
      <c r="E125" s="29"/>
      <c r="F125" s="30"/>
      <c r="G125" s="26" t="s">
        <v>3593</v>
      </c>
      <c r="H125" s="31">
        <v>25</v>
      </c>
      <c r="I125" s="32"/>
      <c r="J125" s="37">
        <v>3</v>
      </c>
      <c r="K125" s="12"/>
      <c r="L125" s="33"/>
      <c r="M125" s="26"/>
      <c r="N125" s="26"/>
      <c r="O125" s="26"/>
      <c r="P125" s="26"/>
      <c r="Q125" s="26"/>
      <c r="R125" s="26"/>
      <c r="S125" s="26"/>
      <c r="T125" s="26"/>
    </row>
    <row r="126" spans="1:20" x14ac:dyDescent="0.25">
      <c r="A126" t="s">
        <v>3594</v>
      </c>
      <c r="B126" s="26" t="s">
        <v>3595</v>
      </c>
      <c r="C126" s="27"/>
      <c r="D126" s="26"/>
      <c r="E126" s="29"/>
      <c r="F126" s="30"/>
      <c r="G126" s="26" t="s">
        <v>3596</v>
      </c>
      <c r="H126" s="31">
        <v>25</v>
      </c>
      <c r="I126" s="32"/>
      <c r="J126" s="37">
        <v>1</v>
      </c>
      <c r="K126" s="12" t="s">
        <v>3597</v>
      </c>
      <c r="L126" s="33"/>
      <c r="M126" s="26"/>
      <c r="N126" s="26"/>
      <c r="O126" s="26"/>
      <c r="P126" s="26"/>
      <c r="Q126" s="26"/>
      <c r="R126" s="26"/>
      <c r="S126" s="26"/>
      <c r="T126" s="26"/>
    </row>
    <row r="127" spans="2:20" s="16" customFormat="1" x14ac:dyDescent="0.25">
      <c r="B127" s="17" t="s">
        <v>3598</v>
      </c>
      <c r="C127" s="18"/>
      <c r="D127" s="17"/>
      <c r="E127" s="20"/>
      <c r="F127" s="21"/>
      <c r="G127" s="17" t="s">
        <v>3599</v>
      </c>
      <c r="H127" s="22">
        <v>25</v>
      </c>
      <c r="I127" s="23"/>
      <c r="J127" s="96">
        <v>0</v>
      </c>
      <c r="K127" s="24" t="s">
        <v>267</v>
      </c>
      <c r="L127" s="25" t="s">
        <v>218</v>
      </c>
      <c r="M127" s="17" t="s">
        <v>723</v>
      </c>
      <c r="N127" s="17" t="s">
        <v>462</v>
      </c>
      <c r="O127" s="17"/>
      <c r="P127" s="17"/>
      <c r="Q127" s="17"/>
      <c r="R127" s="17"/>
      <c r="S127" s="17"/>
      <c r="T127" s="17"/>
    </row>
    <row r="128" spans="1:20" s="14" customFormat="1" x14ac:dyDescent="0.25">
      <c r="A128" s="4" t="s">
        <v>3600</v>
      </c>
      <c r="B128" s="26" t="s">
        <v>3601</v>
      </c>
      <c r="C128" s="27"/>
      <c r="D128" s="26"/>
      <c r="E128" s="29"/>
      <c r="F128" s="30"/>
      <c r="G128" s="26" t="s">
        <v>3602</v>
      </c>
      <c r="H128" s="31">
        <v>25</v>
      </c>
      <c r="I128" s="32"/>
      <c r="J128" s="37">
        <v>0</v>
      </c>
      <c r="K128" s="12" t="s">
        <v>299</v>
      </c>
      <c r="L128" s="33" t="s">
        <v>1322</v>
      </c>
      <c r="M128" s="26"/>
      <c r="N128" s="26"/>
      <c r="O128" s="26"/>
      <c r="P128" s="26"/>
      <c r="Q128" s="26"/>
      <c r="R128" s="26"/>
      <c r="S128" s="26"/>
      <c r="T128" s="26"/>
    </row>
    <row r="129" spans="1:20" x14ac:dyDescent="0.25">
      <c r="A129" t="s">
        <v>3603</v>
      </c>
      <c r="B129" s="26" t="s">
        <v>3604</v>
      </c>
      <c r="C129" s="27"/>
      <c r="D129" s="26"/>
      <c r="E129" s="29"/>
      <c r="F129" s="30"/>
      <c r="G129" s="26" t="s">
        <v>3605</v>
      </c>
      <c r="H129" s="31">
        <v>20</v>
      </c>
      <c r="I129" s="32"/>
      <c r="J129" s="37">
        <v>4</v>
      </c>
      <c r="K129" s="12"/>
      <c r="L129" s="33"/>
      <c r="M129" s="26"/>
      <c r="N129" s="26"/>
      <c r="O129" s="26"/>
      <c r="P129" s="26"/>
      <c r="Q129" s="26"/>
      <c r="R129" s="26"/>
      <c r="S129" s="26"/>
      <c r="T129" s="26"/>
    </row>
    <row r="130" spans="1:20" s="16" customFormat="1" x14ac:dyDescent="0.25">
      <c r="A130" s="16" t="s">
        <v>3606</v>
      </c>
      <c r="B130" s="17" t="s">
        <v>3607</v>
      </c>
      <c r="C130" s="18"/>
      <c r="D130" s="17"/>
      <c r="E130" s="20"/>
      <c r="F130" s="21"/>
      <c r="G130" s="17" t="s">
        <v>3608</v>
      </c>
      <c r="H130" s="22">
        <v>10</v>
      </c>
      <c r="I130" s="23"/>
      <c r="J130" s="96">
        <v>0</v>
      </c>
      <c r="K130" s="24" t="s">
        <v>926</v>
      </c>
      <c r="L130" s="25" t="s">
        <v>830</v>
      </c>
      <c r="M130" s="17"/>
      <c r="N130" s="17"/>
      <c r="O130" s="17"/>
      <c r="P130" s="17"/>
      <c r="Q130" s="17"/>
      <c r="R130" s="17"/>
      <c r="S130" s="17"/>
      <c r="T130" s="17"/>
    </row>
    <row r="131" spans="1:20" x14ac:dyDescent="0.25">
      <c r="A131" t="s">
        <v>3609</v>
      </c>
      <c r="B131" s="26" t="s">
        <v>3610</v>
      </c>
      <c r="C131" s="27"/>
      <c r="D131" s="26"/>
      <c r="E131" s="29"/>
      <c r="F131" s="30"/>
      <c r="G131" s="26" t="s">
        <v>3611</v>
      </c>
      <c r="H131" s="31">
        <v>25</v>
      </c>
      <c r="I131" s="32"/>
      <c r="J131" s="96">
        <v>0</v>
      </c>
      <c r="K131" s="12" t="s">
        <v>470</v>
      </c>
      <c r="L131" s="33"/>
      <c r="M131" s="26"/>
      <c r="N131" s="26"/>
      <c r="O131" s="26"/>
      <c r="P131" s="26"/>
      <c r="Q131" s="26"/>
      <c r="R131" s="26"/>
      <c r="S131" s="26"/>
      <c r="T131" s="26"/>
    </row>
    <row r="132" spans="1:20" x14ac:dyDescent="0.25">
      <c r="A132" t="s">
        <v>3612</v>
      </c>
      <c r="B132" s="26" t="s">
        <v>3613</v>
      </c>
      <c r="C132" s="27"/>
      <c r="D132" s="26"/>
      <c r="E132" s="29"/>
      <c r="F132" s="30"/>
      <c r="G132" s="26" t="s">
        <v>3614</v>
      </c>
      <c r="H132" s="31">
        <v>10</v>
      </c>
      <c r="I132" s="32"/>
      <c r="J132" s="96">
        <v>0</v>
      </c>
      <c r="K132" s="12" t="s">
        <v>3615</v>
      </c>
      <c r="L132" s="33" t="s">
        <v>75</v>
      </c>
      <c r="M132" s="26"/>
      <c r="N132" s="26"/>
      <c r="O132" s="26"/>
      <c r="P132" s="26"/>
      <c r="Q132" s="26"/>
      <c r="R132" s="26"/>
      <c r="S132" s="26"/>
      <c r="T132" s="26"/>
    </row>
    <row r="133" spans="1:20" x14ac:dyDescent="0.25">
      <c r="A133" t="s">
        <v>3616</v>
      </c>
      <c r="B133" s="26" t="s">
        <v>3617</v>
      </c>
      <c r="C133" s="27"/>
      <c r="D133" s="26"/>
      <c r="E133" s="29"/>
      <c r="F133" s="30"/>
      <c r="G133" s="26" t="s">
        <v>3618</v>
      </c>
      <c r="H133" s="31">
        <v>24</v>
      </c>
      <c r="I133" s="32"/>
      <c r="J133" s="37">
        <v>1</v>
      </c>
      <c r="K133" s="12" t="s">
        <v>75</v>
      </c>
      <c r="L133" s="33"/>
      <c r="M133" s="26"/>
      <c r="N133" s="26"/>
      <c r="O133" s="26"/>
      <c r="P133" s="26"/>
      <c r="Q133" s="26"/>
      <c r="R133" s="26"/>
      <c r="S133" s="26"/>
      <c r="T133" s="26"/>
    </row>
    <row r="134" spans="1:20" x14ac:dyDescent="0.25">
      <c r="A134" t="s">
        <v>3619</v>
      </c>
      <c r="B134" s="26" t="s">
        <v>3620</v>
      </c>
      <c r="C134" s="27"/>
      <c r="D134" s="26"/>
      <c r="E134" s="29"/>
      <c r="F134" s="30"/>
      <c r="G134" s="26" t="s">
        <v>3621</v>
      </c>
      <c r="H134" s="31">
        <v>25</v>
      </c>
      <c r="I134" s="32"/>
      <c r="J134" s="37">
        <v>1</v>
      </c>
      <c r="K134" s="12"/>
      <c r="L134" s="33"/>
      <c r="M134" s="26"/>
      <c r="N134" s="26"/>
      <c r="O134" s="26"/>
      <c r="P134" s="26"/>
      <c r="Q134" s="26"/>
      <c r="R134" s="26"/>
      <c r="S134" s="26"/>
      <c r="T134" s="26"/>
    </row>
    <row r="135" spans="1:20" x14ac:dyDescent="0.25">
      <c r="A135" t="s">
        <v>3622</v>
      </c>
      <c r="B135" s="26" t="s">
        <v>3623</v>
      </c>
      <c r="C135" s="27"/>
      <c r="D135" s="26"/>
      <c r="E135" s="29"/>
      <c r="F135" s="30"/>
      <c r="G135" s="26" t="s">
        <v>3624</v>
      </c>
      <c r="H135" s="31">
        <v>25</v>
      </c>
      <c r="I135" s="32"/>
      <c r="J135" s="37">
        <v>1</v>
      </c>
      <c r="K135" s="12"/>
      <c r="L135" s="33"/>
      <c r="M135" s="26"/>
      <c r="N135" s="26"/>
      <c r="O135" s="26"/>
      <c r="P135" s="26"/>
      <c r="Q135" s="26"/>
      <c r="R135" s="26"/>
      <c r="S135" s="26"/>
      <c r="T135" s="26"/>
    </row>
    <row r="136" spans="2:20" s="16" customFormat="1" x14ac:dyDescent="0.25">
      <c r="B136" s="17" t="s">
        <v>3625</v>
      </c>
      <c r="C136" s="18"/>
      <c r="D136" s="17"/>
      <c r="E136" s="20"/>
      <c r="F136" s="21"/>
      <c r="G136" s="17" t="s">
        <v>3626</v>
      </c>
      <c r="H136" s="22">
        <v>25</v>
      </c>
      <c r="I136" s="23"/>
      <c r="J136" s="96">
        <v>0</v>
      </c>
      <c r="K136" s="24" t="s">
        <v>267</v>
      </c>
      <c r="L136" s="25" t="s">
        <v>1908</v>
      </c>
      <c r="M136" s="17"/>
      <c r="N136" s="17"/>
      <c r="O136" s="17"/>
      <c r="P136" s="17"/>
      <c r="Q136" s="17"/>
      <c r="R136" s="17"/>
      <c r="S136" s="17"/>
      <c r="T136" s="17"/>
    </row>
    <row r="137" spans="1:20" x14ac:dyDescent="0.25">
      <c r="A137" t="s">
        <v>3627</v>
      </c>
      <c r="B137" s="232" t="s">
        <v>3628</v>
      </c>
      <c r="C137" s="231"/>
      <c r="D137" s="232"/>
      <c r="E137" s="233"/>
      <c r="F137" s="234"/>
      <c r="G137" s="232" t="s">
        <v>3629</v>
      </c>
      <c r="H137" s="257">
        <v>25</v>
      </c>
      <c r="I137" s="237"/>
      <c r="J137" s="258">
        <v>0</v>
      </c>
      <c r="K137" s="239" t="s">
        <v>470</v>
      </c>
      <c r="L137" s="259"/>
      <c r="M137" s="232"/>
      <c r="N137" s="232"/>
      <c r="O137" s="232"/>
      <c r="P137" s="232"/>
      <c r="Q137" s="232"/>
      <c r="R137" s="232"/>
      <c r="S137" s="232"/>
      <c r="T137" s="232"/>
    </row>
    <row r="138" spans="1:11" s="6" customFormat="1" x14ac:dyDescent="0.25">
      <c r="A138" s="6" t="s">
        <v>3630</v>
      </c>
      <c r="B138" s="6" t="s">
        <v>3631</v>
      </c>
      <c r="G138" s="6" t="s">
        <v>3632</v>
      </c>
      <c r="H138" s="9">
        <v>20</v>
      </c>
      <c r="J138" s="9">
        <v>1</v>
      </c>
      <c r="K138" s="6" t="s">
        <v>45</v>
      </c>
    </row>
    <row r="139" spans="1:11" s="6" customFormat="1" x14ac:dyDescent="0.25">
      <c r="A139" s="6" t="s">
        <v>3633</v>
      </c>
      <c r="B139" s="6" t="s">
        <v>3634</v>
      </c>
      <c r="G139" s="6" t="s">
        <v>3635</v>
      </c>
      <c r="H139" s="9">
        <v>20</v>
      </c>
      <c r="J139" s="56">
        <v>0</v>
      </c>
      <c r="K139" s="6" t="s">
        <v>583</v>
      </c>
    </row>
    <row r="140" spans="1:10" s="6" customFormat="1" x14ac:dyDescent="0.25">
      <c r="A140" s="6" t="s">
        <v>3636</v>
      </c>
      <c r="B140" s="6" t="s">
        <v>3637</v>
      </c>
      <c r="G140" s="6" t="s">
        <v>3638</v>
      </c>
      <c r="H140" s="9">
        <v>20</v>
      </c>
      <c r="J140" s="56">
        <v>1</v>
      </c>
    </row>
    <row r="141" spans="1:11" s="6" customFormat="1" x14ac:dyDescent="0.25">
      <c r="A141" s="6" t="s">
        <v>3639</v>
      </c>
      <c r="B141" s="6" t="s">
        <v>3640</v>
      </c>
      <c r="G141" s="6" t="s">
        <v>3641</v>
      </c>
      <c r="H141" s="9">
        <v>20</v>
      </c>
      <c r="J141" s="56">
        <v>0</v>
      </c>
      <c r="K141" s="6" t="s">
        <v>583</v>
      </c>
    </row>
    <row r="142" spans="1:20" x14ac:dyDescent="0.25">
      <c r="A142" s="260" t="s">
        <v>3642</v>
      </c>
      <c r="B142" s="216" t="s">
        <v>3643</v>
      </c>
      <c r="C142" s="250"/>
      <c r="D142" s="216"/>
      <c r="E142" s="214"/>
      <c r="F142" s="215"/>
      <c r="G142" s="216" t="s">
        <v>3644</v>
      </c>
      <c r="H142" s="217">
        <v>25</v>
      </c>
      <c r="I142" s="218"/>
      <c r="J142" s="261">
        <v>7</v>
      </c>
      <c r="K142" s="220"/>
      <c r="L142" s="221"/>
      <c r="M142" s="216"/>
      <c r="N142" s="216"/>
      <c r="O142" s="216"/>
      <c r="P142" s="216"/>
      <c r="Q142" s="216"/>
      <c r="R142" s="216"/>
      <c r="S142" s="216"/>
      <c r="T142" s="216"/>
    </row>
    <row r="143" spans="1:20" x14ac:dyDescent="0.25">
      <c r="A143" t="s">
        <v>3645</v>
      </c>
      <c r="B143" s="26" t="s">
        <v>3646</v>
      </c>
      <c r="C143" s="27"/>
      <c r="D143" s="26"/>
      <c r="E143" s="29"/>
      <c r="F143" s="30"/>
      <c r="G143" s="26" t="s">
        <v>3647</v>
      </c>
      <c r="H143" s="31">
        <v>25</v>
      </c>
      <c r="I143" s="32"/>
      <c r="J143" s="37">
        <v>1</v>
      </c>
      <c r="K143" s="12"/>
      <c r="L143" s="33"/>
      <c r="M143" s="26"/>
      <c r="N143" s="26"/>
      <c r="O143" s="26"/>
      <c r="P143" s="26"/>
      <c r="Q143" s="26"/>
      <c r="R143" s="26"/>
      <c r="S143" s="26"/>
      <c r="T143" s="26"/>
    </row>
    <row r="144" spans="1:20" x14ac:dyDescent="0.25">
      <c r="A144" t="s">
        <v>3648</v>
      </c>
      <c r="B144" s="26" t="s">
        <v>3649</v>
      </c>
      <c r="C144" s="27"/>
      <c r="D144" s="26"/>
      <c r="E144" s="29"/>
      <c r="F144" s="30"/>
      <c r="G144" s="26" t="s">
        <v>3650</v>
      </c>
      <c r="H144" s="31">
        <v>10</v>
      </c>
      <c r="I144" s="32"/>
      <c r="J144" s="37">
        <v>1</v>
      </c>
      <c r="K144" s="12"/>
      <c r="L144" s="33"/>
      <c r="M144" s="26"/>
      <c r="N144" s="26"/>
      <c r="O144" s="26"/>
      <c r="P144" s="26"/>
      <c r="Q144" s="26"/>
      <c r="R144" s="26"/>
      <c r="S144" s="26"/>
      <c r="T144" s="26"/>
    </row>
    <row r="145" spans="1:20" x14ac:dyDescent="0.25">
      <c r="A145" t="s">
        <v>2393</v>
      </c>
      <c r="B145" s="26" t="s">
        <v>3651</v>
      </c>
      <c r="C145" s="27"/>
      <c r="D145" s="26"/>
      <c r="E145" s="29"/>
      <c r="F145" s="30"/>
      <c r="G145" s="26" t="s">
        <v>3652</v>
      </c>
      <c r="H145" s="31">
        <v>10</v>
      </c>
      <c r="I145" s="32"/>
      <c r="J145" s="37">
        <v>1</v>
      </c>
      <c r="K145" s="12" t="s">
        <v>64</v>
      </c>
      <c r="L145" s="33"/>
      <c r="M145" s="26"/>
      <c r="N145" s="26"/>
      <c r="O145" s="26"/>
      <c r="P145" s="26"/>
      <c r="Q145" s="26"/>
      <c r="R145" s="26"/>
      <c r="S145" s="26"/>
      <c r="T145" s="26"/>
    </row>
    <row r="146" spans="1:20" x14ac:dyDescent="0.25">
      <c r="A146" t="s">
        <v>3653</v>
      </c>
      <c r="B146" s="26" t="s">
        <v>3654</v>
      </c>
      <c r="C146" s="27"/>
      <c r="D146" s="26"/>
      <c r="E146" s="29"/>
      <c r="F146" s="30"/>
      <c r="G146" s="26" t="s">
        <v>3655</v>
      </c>
      <c r="H146" s="31">
        <v>25</v>
      </c>
      <c r="I146" s="32"/>
      <c r="J146" s="37">
        <v>1</v>
      </c>
      <c r="K146" s="12"/>
      <c r="L146" s="33"/>
      <c r="M146" s="26"/>
      <c r="N146" s="26"/>
      <c r="O146" s="26"/>
      <c r="P146" s="26"/>
      <c r="Q146" s="26"/>
      <c r="R146" s="26"/>
      <c r="S146" s="26"/>
      <c r="T146" s="26"/>
    </row>
    <row r="147" spans="1:20" x14ac:dyDescent="0.25">
      <c r="A147" t="s">
        <v>3656</v>
      </c>
      <c r="B147" s="26" t="s">
        <v>3657</v>
      </c>
      <c r="C147" s="27"/>
      <c r="D147" s="26"/>
      <c r="E147" s="29"/>
      <c r="F147" s="30"/>
      <c r="G147" s="26" t="s">
        <v>3658</v>
      </c>
      <c r="H147" s="31">
        <v>12</v>
      </c>
      <c r="I147" s="32"/>
      <c r="J147" s="37">
        <v>3</v>
      </c>
      <c r="K147" s="12" t="s">
        <v>218</v>
      </c>
      <c r="L147" s="33" t="s">
        <v>1385</v>
      </c>
      <c r="M147" s="26" t="s">
        <v>3302</v>
      </c>
      <c r="N147" s="26"/>
      <c r="O147" s="26"/>
      <c r="P147" s="26"/>
      <c r="Q147" s="26"/>
      <c r="R147" s="26"/>
      <c r="S147" s="26"/>
      <c r="T147" s="26"/>
    </row>
    <row r="148" spans="1:20" x14ac:dyDescent="0.25">
      <c r="A148" t="s">
        <v>3659</v>
      </c>
      <c r="B148" s="26" t="s">
        <v>3660</v>
      </c>
      <c r="C148" s="27"/>
      <c r="D148" s="26"/>
      <c r="E148" s="29"/>
      <c r="F148" s="30"/>
      <c r="G148" s="26" t="s">
        <v>3661</v>
      </c>
      <c r="H148" s="31">
        <v>24</v>
      </c>
      <c r="I148" s="32"/>
      <c r="J148" s="37">
        <v>2</v>
      </c>
      <c r="K148" s="12" t="s">
        <v>1354</v>
      </c>
      <c r="L148" s="33"/>
      <c r="M148" s="26"/>
      <c r="N148" s="26"/>
      <c r="O148" s="26"/>
      <c r="P148" s="26"/>
      <c r="Q148" s="26"/>
      <c r="R148" s="26"/>
      <c r="S148" s="26"/>
      <c r="T148" s="26"/>
    </row>
    <row r="149" spans="1:20" s="16" customFormat="1" x14ac:dyDescent="0.25">
      <c r="A149" s="16" t="s">
        <v>3662</v>
      </c>
      <c r="B149" s="17" t="s">
        <v>3663</v>
      </c>
      <c r="C149" s="18"/>
      <c r="D149" s="17"/>
      <c r="E149" s="20"/>
      <c r="F149" s="21"/>
      <c r="G149" s="17" t="s">
        <v>3664</v>
      </c>
      <c r="H149" s="22">
        <v>12</v>
      </c>
      <c r="I149" s="23"/>
      <c r="J149" s="96">
        <v>0</v>
      </c>
      <c r="K149" s="24" t="s">
        <v>346</v>
      </c>
      <c r="L149" s="25"/>
      <c r="M149" s="17"/>
      <c r="N149" s="17"/>
      <c r="O149" s="17"/>
      <c r="P149" s="17"/>
      <c r="Q149" s="17"/>
      <c r="R149" s="17"/>
      <c r="S149" s="17"/>
      <c r="T149" s="17"/>
    </row>
    <row r="150" spans="1:20" x14ac:dyDescent="0.25">
      <c r="A150" t="s">
        <v>3665</v>
      </c>
      <c r="B150" s="26" t="s">
        <v>3666</v>
      </c>
      <c r="C150" s="27"/>
      <c r="D150" s="26"/>
      <c r="E150" s="29"/>
      <c r="F150" s="30"/>
      <c r="G150" s="26" t="s">
        <v>3667</v>
      </c>
      <c r="H150" s="31">
        <v>12</v>
      </c>
      <c r="I150" s="32"/>
      <c r="J150" s="37">
        <v>1</v>
      </c>
      <c r="K150" s="12"/>
      <c r="L150" s="33"/>
      <c r="M150" s="26"/>
      <c r="N150" s="26"/>
      <c r="O150" s="26"/>
      <c r="P150" s="26"/>
      <c r="Q150" s="26"/>
      <c r="R150" s="26"/>
      <c r="S150" s="26"/>
      <c r="T150" s="26"/>
    </row>
    <row r="151" spans="1:20" x14ac:dyDescent="0.25">
      <c r="A151" t="s">
        <v>3668</v>
      </c>
      <c r="B151" s="26" t="s">
        <v>3669</v>
      </c>
      <c r="C151" s="27"/>
      <c r="D151" s="26"/>
      <c r="E151" s="29"/>
      <c r="F151" s="30"/>
      <c r="G151" s="26" t="s">
        <v>3670</v>
      </c>
      <c r="H151" s="31">
        <v>12</v>
      </c>
      <c r="I151" s="32"/>
      <c r="J151" s="37">
        <v>6</v>
      </c>
      <c r="K151" s="12"/>
      <c r="L151" s="33"/>
      <c r="M151" s="26"/>
      <c r="N151" s="26"/>
      <c r="O151" s="26"/>
      <c r="P151" s="26"/>
      <c r="Q151" s="26"/>
      <c r="R151" s="26"/>
      <c r="S151" s="26"/>
      <c r="T151" s="26"/>
    </row>
    <row r="152" spans="1:20" s="16" customFormat="1" x14ac:dyDescent="0.25">
      <c r="A152" s="16" t="s">
        <v>3671</v>
      </c>
      <c r="B152" s="251" t="s">
        <v>3672</v>
      </c>
      <c r="C152" s="262"/>
      <c r="D152" s="251"/>
      <c r="E152" s="263"/>
      <c r="F152" s="264"/>
      <c r="G152" s="251" t="s">
        <v>3673</v>
      </c>
      <c r="H152" s="265">
        <v>12</v>
      </c>
      <c r="I152" s="266"/>
      <c r="J152" s="258">
        <v>0</v>
      </c>
      <c r="K152" s="267" t="s">
        <v>1207</v>
      </c>
      <c r="L152" s="268"/>
      <c r="M152" s="251"/>
      <c r="N152" s="251"/>
      <c r="O152" s="251"/>
      <c r="P152" s="251"/>
      <c r="Q152" s="251"/>
      <c r="R152" s="251"/>
      <c r="S152" s="251"/>
      <c r="T152" s="251"/>
    </row>
    <row r="153" spans="2:21" s="6" customFormat="1" x14ac:dyDescent="0.25">
      <c r="B153" s="42" t="s">
        <v>3674</v>
      </c>
      <c r="C153" s="43"/>
      <c r="D153" s="42"/>
      <c r="E153" s="106"/>
      <c r="F153" s="87"/>
      <c r="G153" s="106" t="s">
        <v>3675</v>
      </c>
      <c r="H153" s="45">
        <v>20</v>
      </c>
      <c r="I153" s="46"/>
      <c r="J153" s="47">
        <v>0</v>
      </c>
      <c r="K153" s="48"/>
      <c r="L153" s="44" t="s">
        <v>188</v>
      </c>
      <c r="M153" s="42" t="s">
        <v>3676</v>
      </c>
      <c r="N153" s="42"/>
      <c r="O153" s="42"/>
      <c r="P153" s="42"/>
      <c r="Q153" s="42"/>
      <c r="R153" s="42"/>
      <c r="S153" s="42"/>
      <c r="T153" s="42"/>
      <c r="U153" s="42"/>
    </row>
    <row r="154" spans="1:20" s="6" customFormat="1" x14ac:dyDescent="0.25">
      <c r="A154" s="6" t="s">
        <v>3677</v>
      </c>
      <c r="B154" s="26" t="s">
        <v>3678</v>
      </c>
      <c r="C154" s="27"/>
      <c r="D154" s="26"/>
      <c r="E154" s="29"/>
      <c r="F154" s="30"/>
      <c r="G154" s="26" t="s">
        <v>3679</v>
      </c>
      <c r="H154" s="31">
        <v>25</v>
      </c>
      <c r="I154" s="32"/>
      <c r="J154" s="37">
        <v>1</v>
      </c>
      <c r="K154" s="12"/>
      <c r="L154" s="33"/>
      <c r="M154" s="26"/>
      <c r="N154" s="26"/>
      <c r="O154" s="26"/>
      <c r="P154" s="26"/>
      <c r="Q154" s="26"/>
      <c r="R154" s="26"/>
      <c r="S154" s="26"/>
      <c r="T154" s="26"/>
    </row>
    <row r="155" spans="1:20" s="6" customFormat="1" x14ac:dyDescent="0.25">
      <c r="A155" s="6" t="s">
        <v>3680</v>
      </c>
      <c r="B155" s="26" t="s">
        <v>3681</v>
      </c>
      <c r="C155" s="27"/>
      <c r="D155" s="26"/>
      <c r="E155" s="29"/>
      <c r="F155" s="30"/>
      <c r="G155" s="26" t="s">
        <v>3682</v>
      </c>
      <c r="H155" s="31">
        <v>25</v>
      </c>
      <c r="I155" s="32"/>
      <c r="J155" s="37">
        <v>2</v>
      </c>
      <c r="K155" s="12"/>
      <c r="L155" s="33"/>
      <c r="M155" s="26"/>
      <c r="N155" s="26"/>
      <c r="O155" s="26"/>
      <c r="P155" s="26"/>
      <c r="Q155" s="26"/>
      <c r="R155" s="26"/>
      <c r="S155" s="26"/>
      <c r="T155" s="26"/>
    </row>
    <row r="156" spans="1:20" s="6" customFormat="1" x14ac:dyDescent="0.25">
      <c r="A156" s="6" t="s">
        <v>3683</v>
      </c>
      <c r="B156" s="26" t="s">
        <v>3684</v>
      </c>
      <c r="C156" s="27"/>
      <c r="D156" s="26"/>
      <c r="E156" s="29"/>
      <c r="F156" s="30"/>
      <c r="G156" s="26" t="s">
        <v>3685</v>
      </c>
      <c r="H156" s="31">
        <v>16</v>
      </c>
      <c r="I156" s="32"/>
      <c r="J156" s="37">
        <v>1</v>
      </c>
      <c r="K156" s="12"/>
      <c r="L156" s="33"/>
      <c r="M156" s="26"/>
      <c r="N156" s="26"/>
      <c r="O156" s="26"/>
      <c r="P156" s="26"/>
      <c r="Q156" s="26"/>
      <c r="R156" s="26"/>
      <c r="S156" s="26"/>
      <c r="T156" s="26"/>
    </row>
    <row r="157" spans="2:20" s="6" customFormat="1" x14ac:dyDescent="0.25">
      <c r="B157" s="26" t="s">
        <v>3686</v>
      </c>
      <c r="C157" s="27"/>
      <c r="D157" s="26"/>
      <c r="E157" s="29"/>
      <c r="F157" s="30"/>
      <c r="G157" s="26" t="s">
        <v>3687</v>
      </c>
      <c r="H157" s="31">
        <v>16</v>
      </c>
      <c r="I157" s="32"/>
      <c r="J157" s="37">
        <v>0</v>
      </c>
      <c r="K157" s="12" t="s">
        <v>920</v>
      </c>
      <c r="L157" s="33"/>
      <c r="M157" s="26"/>
      <c r="N157" s="26"/>
      <c r="O157" s="26"/>
      <c r="P157" s="26"/>
      <c r="Q157" s="26"/>
      <c r="R157" s="26"/>
      <c r="S157" s="26"/>
      <c r="T157" s="26"/>
    </row>
    <row r="158" spans="2:20" x14ac:dyDescent="0.25">
      <c r="B158" s="216"/>
      <c r="C158" s="250"/>
      <c r="D158" s="216"/>
      <c r="E158" s="214"/>
      <c r="F158" s="215"/>
      <c r="G158" s="216" t="s">
        <v>3688</v>
      </c>
      <c r="H158" s="217">
        <v>10</v>
      </c>
      <c r="I158" s="269" t="s">
        <v>3689</v>
      </c>
      <c r="J158" s="256">
        <v>0</v>
      </c>
      <c r="K158" s="220"/>
      <c r="L158" s="221"/>
      <c r="M158" s="216"/>
      <c r="N158" s="216"/>
      <c r="O158" s="216"/>
      <c r="P158" s="216"/>
      <c r="Q158" s="216"/>
      <c r="R158" s="216"/>
      <c r="S158" s="216"/>
      <c r="T158" s="216"/>
    </row>
    <row r="159" spans="2:20" x14ac:dyDescent="0.25">
      <c r="B159" s="26"/>
      <c r="C159" s="27"/>
      <c r="D159" s="26"/>
      <c r="E159" s="29"/>
      <c r="F159" s="30"/>
      <c r="G159" s="228" t="s">
        <v>3690</v>
      </c>
      <c r="H159" s="229">
        <v>25</v>
      </c>
      <c r="I159" s="32"/>
      <c r="J159" s="11">
        <v>0</v>
      </c>
      <c r="K159" s="34" t="s">
        <v>3260</v>
      </c>
      <c r="L159" s="8" t="s">
        <v>3691</v>
      </c>
      <c r="M159" s="6" t="s">
        <v>2191</v>
      </c>
      <c r="N159" s="6"/>
      <c r="O159" s="6"/>
      <c r="P159" s="6"/>
      <c r="Q159" s="6"/>
      <c r="R159" s="6"/>
      <c r="S159" s="6"/>
      <c r="T159" s="6"/>
    </row>
    <row r="160" spans="2:20" x14ac:dyDescent="0.25">
      <c r="B160" s="26"/>
      <c r="C160" s="27"/>
      <c r="D160" s="26"/>
      <c r="E160" s="29"/>
      <c r="F160" s="30"/>
      <c r="G160" s="228" t="s">
        <v>3692</v>
      </c>
      <c r="H160" s="229">
        <v>25</v>
      </c>
      <c r="I160" s="32"/>
      <c r="J160" s="11">
        <v>0</v>
      </c>
      <c r="K160" s="34" t="s">
        <v>3260</v>
      </c>
      <c r="L160" s="8"/>
      <c r="M160" s="6"/>
      <c r="N160" s="6"/>
      <c r="O160" s="6"/>
      <c r="P160" s="6"/>
      <c r="Q160" s="6"/>
      <c r="R160" s="6"/>
      <c r="S160" s="6"/>
      <c r="T160" s="6"/>
    </row>
    <row r="161" spans="2:20" x14ac:dyDescent="0.25">
      <c r="B161" s="26"/>
      <c r="C161" s="27"/>
      <c r="D161" s="26"/>
      <c r="E161" s="29"/>
      <c r="F161" s="30"/>
      <c r="G161" s="26" t="s">
        <v>3693</v>
      </c>
      <c r="H161" s="31">
        <v>20</v>
      </c>
      <c r="I161" s="32" t="s">
        <v>3694</v>
      </c>
      <c r="J161" s="37">
        <v>0</v>
      </c>
      <c r="K161" s="12"/>
      <c r="L161" s="33" t="s">
        <v>3695</v>
      </c>
      <c r="M161" s="26" t="s">
        <v>1765</v>
      </c>
      <c r="N161" s="26"/>
      <c r="O161" s="26"/>
      <c r="P161" s="26"/>
      <c r="Q161" s="26"/>
      <c r="R161" s="26"/>
      <c r="S161" s="26"/>
      <c r="T161" s="26"/>
    </row>
    <row r="162" spans="2:20" x14ac:dyDescent="0.25">
      <c r="B162" s="26"/>
      <c r="C162" s="27"/>
      <c r="D162" s="26"/>
      <c r="E162" s="29"/>
      <c r="F162" s="30"/>
      <c r="G162" s="26" t="s">
        <v>3569</v>
      </c>
      <c r="H162" s="31">
        <v>10</v>
      </c>
      <c r="I162" s="32"/>
      <c r="J162" s="37">
        <v>0</v>
      </c>
      <c r="K162" s="12"/>
      <c r="L162" s="33" t="s">
        <v>3696</v>
      </c>
      <c r="M162" s="26"/>
      <c r="N162" s="26"/>
      <c r="O162" s="26"/>
      <c r="P162" s="26"/>
      <c r="Q162" s="26"/>
      <c r="R162" s="26"/>
      <c r="S162" s="26"/>
      <c r="T162" s="26"/>
    </row>
  </sheetData>
  <pageMargins left="0.7" right="0.7" top="0.75" bottom="0.75" header="0.3" footer="0.3"/>
  <pageSetup paperSize="119" orientation="portrait" horizontalDpi="300" verticalDpi="300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"/>
  <sheetViews>
    <sheetView workbookViewId="0" zoomScale="100" zoomScaleNormal="100">
      <selection activeCell="S41" sqref="S41"/>
    </sheetView>
  </sheetViews>
  <sheetFormatPr defaultRowHeight="15" outlineLevelRow="0" outlineLevelCol="0" x14ac:dyDescent="0"/>
  <cols>
    <col min="1" max="1" width="13.5703125" customWidth="1"/>
    <col min="2" max="2" width="7.42578125" customWidth="1"/>
    <col min="4" max="4" width="14.7109375" customWidth="1"/>
    <col min="6" max="6" width="46.42578125" customWidth="1"/>
    <col min="7" max="7" width="6.7109375" customWidth="1"/>
    <col min="8" max="8" width="18.28515625" customWidth="1"/>
    <col min="9" max="9" width="6.5703125" customWidth="1"/>
    <col min="10" max="10" width="14.42578125" customWidth="1"/>
    <col min="11" max="11" width="13.5703125" customWidth="1"/>
    <col min="12" max="12" width="11.42578125" customWidth="1"/>
    <col min="13" max="13" width="12.42578125" customWidth="1"/>
    <col min="14" max="14" width="11" customWidth="1"/>
    <col min="15" max="15" width="10.42578125" customWidth="1"/>
    <col min="16" max="16" width="11" customWidth="1"/>
    <col min="17" max="17" width="10.5703125" customWidth="1"/>
    <col min="18" max="18" width="10" customWidth="1"/>
    <col min="19" max="19" width="11" customWidth="1"/>
    <col min="20" max="20" width="9.7109375" customWidth="1"/>
    <col min="21" max="21" width="12.5703125" customWidth="1"/>
  </cols>
  <sheetData>
    <row r="1" spans="1:20" s="40" customFormat="1" x14ac:dyDescent="0.25">
      <c r="A1" s="42" t="s">
        <v>5045</v>
      </c>
      <c r="B1" s="43"/>
      <c r="C1" s="64" t="s">
        <v>5046</v>
      </c>
      <c r="D1" s="42" t="s">
        <v>5047</v>
      </c>
      <c r="E1" s="44"/>
      <c r="F1" s="42" t="s">
        <v>5048</v>
      </c>
      <c r="G1" s="57">
        <v>8</v>
      </c>
      <c r="H1" s="331" t="s">
        <v>1887</v>
      </c>
      <c r="I1" s="47">
        <v>0</v>
      </c>
      <c r="J1" s="47" t="s">
        <v>5049</v>
      </c>
      <c r="K1" s="48" t="s">
        <v>5050</v>
      </c>
      <c r="L1" s="44" t="s">
        <v>1875</v>
      </c>
      <c r="M1" s="42" t="s">
        <v>526</v>
      </c>
      <c r="N1" s="42" t="s">
        <v>5051</v>
      </c>
      <c r="O1" s="42" t="s">
        <v>3391</v>
      </c>
      <c r="P1" s="42" t="s">
        <v>1245</v>
      </c>
      <c r="Q1" s="42" t="s">
        <v>473</v>
      </c>
      <c r="R1" s="42" t="s">
        <v>276</v>
      </c>
      <c r="S1" s="42" t="s">
        <v>511</v>
      </c>
      <c r="T1" s="42" t="s">
        <v>471</v>
      </c>
    </row>
    <row r="2" spans="1:21" s="40" customFormat="1" x14ac:dyDescent="0.25">
      <c r="A2" s="42" t="s">
        <v>5052</v>
      </c>
      <c r="B2" s="43"/>
      <c r="C2" s="64" t="s">
        <v>5046</v>
      </c>
      <c r="D2" s="42" t="s">
        <v>5047</v>
      </c>
      <c r="E2" s="44"/>
      <c r="F2" s="42" t="s">
        <v>5053</v>
      </c>
      <c r="G2" s="57">
        <v>8</v>
      </c>
      <c r="H2" s="331"/>
      <c r="I2" s="47">
        <v>0</v>
      </c>
      <c r="J2" s="47"/>
      <c r="K2" s="48" t="s">
        <v>5054</v>
      </c>
      <c r="L2" s="44" t="s">
        <v>1375</v>
      </c>
      <c r="M2" s="42" t="s">
        <v>4057</v>
      </c>
      <c r="N2" s="42" t="s">
        <v>1004</v>
      </c>
      <c r="O2" s="42" t="s">
        <v>5055</v>
      </c>
      <c r="P2" s="42" t="s">
        <v>2454</v>
      </c>
      <c r="Q2" s="42" t="s">
        <v>5056</v>
      </c>
      <c r="R2" s="42" t="s">
        <v>903</v>
      </c>
      <c r="S2" s="42" t="s">
        <v>539</v>
      </c>
      <c r="T2" s="42" t="s">
        <v>5057</v>
      </c>
      <c r="U2" s="42"/>
    </row>
    <row r="3" spans="1:20" x14ac:dyDescent="0.25">
      <c r="A3" s="6" t="s">
        <v>5058</v>
      </c>
      <c r="B3" s="7"/>
      <c r="C3" s="55" t="s">
        <v>5046</v>
      </c>
      <c r="D3" s="6" t="s">
        <v>5047</v>
      </c>
      <c r="E3" s="8"/>
      <c r="F3" s="6" t="s">
        <v>5059</v>
      </c>
      <c r="G3" s="9">
        <v>8</v>
      </c>
      <c r="H3" s="6"/>
      <c r="I3" s="11">
        <v>1</v>
      </c>
      <c r="J3" s="11" t="s">
        <v>5060</v>
      </c>
      <c r="K3" s="12" t="s">
        <v>939</v>
      </c>
      <c r="L3" s="8" t="s">
        <v>322</v>
      </c>
      <c r="M3" s="6" t="s">
        <v>1456</v>
      </c>
      <c r="N3" s="6" t="s">
        <v>880</v>
      </c>
      <c r="O3" s="6" t="s">
        <v>539</v>
      </c>
      <c r="P3" s="6" t="s">
        <v>785</v>
      </c>
      <c r="Q3" s="6" t="s">
        <v>1004</v>
      </c>
      <c r="R3" s="6" t="s">
        <v>2377</v>
      </c>
      <c r="S3" s="6" t="s">
        <v>5061</v>
      </c>
      <c r="T3" s="6"/>
    </row>
    <row r="4" spans="1:20" x14ac:dyDescent="0.25">
      <c r="A4" s="6" t="s">
        <v>5062</v>
      </c>
      <c r="B4" s="7"/>
      <c r="C4" s="55" t="s">
        <v>5046</v>
      </c>
      <c r="D4" s="6" t="s">
        <v>5047</v>
      </c>
      <c r="E4" s="8"/>
      <c r="F4" s="6" t="s">
        <v>5063</v>
      </c>
      <c r="G4" s="9">
        <v>8</v>
      </c>
      <c r="H4" s="6" t="s">
        <v>5064</v>
      </c>
      <c r="I4" s="11">
        <v>4</v>
      </c>
      <c r="J4" s="11" t="s">
        <v>5065</v>
      </c>
      <c r="K4" s="12" t="s">
        <v>5066</v>
      </c>
      <c r="L4" s="8" t="s">
        <v>903</v>
      </c>
      <c r="M4" s="9" t="s">
        <v>5067</v>
      </c>
      <c r="N4" s="6" t="s">
        <v>85</v>
      </c>
      <c r="O4" s="6" t="s">
        <v>5068</v>
      </c>
      <c r="P4" s="6" t="s">
        <v>5069</v>
      </c>
      <c r="Q4" s="6" t="s">
        <v>1969</v>
      </c>
      <c r="R4" s="6"/>
      <c r="S4" s="6" t="s">
        <v>109</v>
      </c>
      <c r="T4" s="6" t="s">
        <v>275</v>
      </c>
    </row>
    <row r="5" spans="1:20" s="40" customFormat="1" x14ac:dyDescent="0.25">
      <c r="A5" s="42" t="s">
        <v>5070</v>
      </c>
      <c r="B5" s="43"/>
      <c r="C5" s="64" t="s">
        <v>5046</v>
      </c>
      <c r="D5" s="42" t="s">
        <v>5047</v>
      </c>
      <c r="E5" s="44"/>
      <c r="F5" s="42" t="s">
        <v>5071</v>
      </c>
      <c r="G5" s="57">
        <v>8</v>
      </c>
      <c r="H5" s="42"/>
      <c r="I5" s="47">
        <v>0</v>
      </c>
      <c r="J5" s="47"/>
      <c r="K5" s="48" t="s">
        <v>5066</v>
      </c>
      <c r="L5" s="44" t="s">
        <v>471</v>
      </c>
      <c r="M5" s="57" t="s">
        <v>171</v>
      </c>
      <c r="N5" s="42" t="s">
        <v>5072</v>
      </c>
      <c r="O5" s="42" t="s">
        <v>282</v>
      </c>
      <c r="P5" s="42" t="s">
        <v>880</v>
      </c>
      <c r="Q5" s="42" t="s">
        <v>698</v>
      </c>
      <c r="R5" s="42" t="s">
        <v>85</v>
      </c>
      <c r="S5" s="42" t="s">
        <v>5057</v>
      </c>
      <c r="T5" s="42" t="s">
        <v>1244</v>
      </c>
    </row>
    <row r="6" spans="1:21" s="40" customFormat="1" x14ac:dyDescent="0.25">
      <c r="A6" s="42" t="s">
        <v>5073</v>
      </c>
      <c r="B6" s="43"/>
      <c r="C6" s="64" t="s">
        <v>5046</v>
      </c>
      <c r="D6" s="42" t="s">
        <v>5047</v>
      </c>
      <c r="E6" s="44"/>
      <c r="F6" s="42" t="s">
        <v>5074</v>
      </c>
      <c r="G6" s="57">
        <v>8</v>
      </c>
      <c r="H6" s="42"/>
      <c r="I6" s="47">
        <v>0</v>
      </c>
      <c r="J6" s="47"/>
      <c r="K6" s="48" t="s">
        <v>939</v>
      </c>
      <c r="L6" s="44" t="s">
        <v>2728</v>
      </c>
      <c r="M6" s="57" t="s">
        <v>539</v>
      </c>
      <c r="N6" s="42" t="s">
        <v>85</v>
      </c>
      <c r="O6" s="42" t="s">
        <v>1556</v>
      </c>
      <c r="P6" s="42" t="s">
        <v>1244</v>
      </c>
      <c r="Q6" s="42" t="s">
        <v>1581</v>
      </c>
      <c r="R6" s="42" t="s">
        <v>1243</v>
      </c>
      <c r="S6" s="42" t="s">
        <v>2729</v>
      </c>
      <c r="T6" s="42" t="s">
        <v>1456</v>
      </c>
      <c r="U6" s="42"/>
    </row>
    <row r="7" spans="1:21" s="40" customFormat="1" x14ac:dyDescent="0.25">
      <c r="A7" s="42" t="s">
        <v>5075</v>
      </c>
      <c r="B7" s="43"/>
      <c r="C7" s="64" t="s">
        <v>5046</v>
      </c>
      <c r="D7" s="42" t="s">
        <v>5047</v>
      </c>
      <c r="E7" s="44"/>
      <c r="F7" s="42" t="s">
        <v>5076</v>
      </c>
      <c r="G7" s="57">
        <v>8</v>
      </c>
      <c r="H7" s="42" t="s">
        <v>1887</v>
      </c>
      <c r="I7" s="47">
        <v>0</v>
      </c>
      <c r="J7" s="47"/>
      <c r="K7" s="48" t="s">
        <v>5077</v>
      </c>
      <c r="L7" s="44" t="s">
        <v>698</v>
      </c>
      <c r="M7" s="42" t="s">
        <v>85</v>
      </c>
      <c r="N7" s="42" t="s">
        <v>785</v>
      </c>
      <c r="O7" s="42" t="s">
        <v>5078</v>
      </c>
      <c r="P7" s="42"/>
      <c r="Q7" s="42"/>
      <c r="R7" s="42" t="s">
        <v>1673</v>
      </c>
      <c r="S7" s="42" t="s">
        <v>5079</v>
      </c>
      <c r="T7" s="42" t="s">
        <v>538</v>
      </c>
      <c r="U7" s="42"/>
    </row>
    <row r="8" spans="1:20" x14ac:dyDescent="0.25">
      <c r="A8" s="6" t="s">
        <v>5080</v>
      </c>
      <c r="B8" s="7"/>
      <c r="C8" s="55" t="s">
        <v>5046</v>
      </c>
      <c r="D8" s="6" t="s">
        <v>5047</v>
      </c>
      <c r="E8" s="8"/>
      <c r="F8" s="6" t="s">
        <v>5081</v>
      </c>
      <c r="G8" s="9">
        <v>8</v>
      </c>
      <c r="H8" s="6"/>
      <c r="I8" s="11">
        <v>7</v>
      </c>
      <c r="J8" s="11" t="s">
        <v>5082</v>
      </c>
      <c r="K8" s="12" t="s">
        <v>5083</v>
      </c>
      <c r="L8" s="8" t="s">
        <v>538</v>
      </c>
      <c r="M8" s="9" t="s">
        <v>85</v>
      </c>
      <c r="N8" s="6" t="s">
        <v>379</v>
      </c>
      <c r="O8" s="6" t="s">
        <v>3505</v>
      </c>
      <c r="P8" s="6" t="s">
        <v>5084</v>
      </c>
      <c r="Q8" s="6"/>
      <c r="R8" s="6" t="s">
        <v>1243</v>
      </c>
      <c r="S8" s="6" t="s">
        <v>275</v>
      </c>
      <c r="T8" s="6" t="s">
        <v>880</v>
      </c>
    </row>
    <row r="9" spans="1:21" s="40" customFormat="1" x14ac:dyDescent="0.25">
      <c r="A9" s="42">
        <v>23382</v>
      </c>
      <c r="B9" s="43"/>
      <c r="C9" s="42" t="s">
        <v>29</v>
      </c>
      <c r="D9" s="42" t="s">
        <v>1000</v>
      </c>
      <c r="E9" s="44"/>
      <c r="F9" s="42" t="s">
        <v>5085</v>
      </c>
      <c r="G9" s="45">
        <v>25</v>
      </c>
      <c r="H9" s="46"/>
      <c r="I9" s="47">
        <v>0</v>
      </c>
      <c r="J9" s="47"/>
      <c r="K9" s="48" t="s">
        <v>5086</v>
      </c>
      <c r="L9" s="44" t="s">
        <v>106</v>
      </c>
      <c r="M9" s="42" t="s">
        <v>711</v>
      </c>
      <c r="N9" s="42" t="s">
        <v>2226</v>
      </c>
      <c r="O9" s="42" t="s">
        <v>1192</v>
      </c>
      <c r="P9" s="42" t="s">
        <v>265</v>
      </c>
      <c r="Q9" s="42" t="s">
        <v>1377</v>
      </c>
      <c r="R9" s="42" t="s">
        <v>119</v>
      </c>
      <c r="S9" s="42"/>
      <c r="T9" s="42"/>
      <c r="U9" s="42"/>
    </row>
    <row r="10" spans="1:20" s="14" customFormat="1" x14ac:dyDescent="0.25">
      <c r="A10" s="26">
        <v>23385</v>
      </c>
      <c r="B10" s="27"/>
      <c r="C10" s="26" t="s">
        <v>29</v>
      </c>
      <c r="D10" s="26" t="s">
        <v>1000</v>
      </c>
      <c r="E10" s="33"/>
      <c r="F10" s="26" t="s">
        <v>5087</v>
      </c>
      <c r="G10" s="31">
        <v>25</v>
      </c>
      <c r="H10" s="32" t="s">
        <v>5088</v>
      </c>
      <c r="I10" s="11">
        <v>0</v>
      </c>
      <c r="J10" s="11" t="s">
        <v>5089</v>
      </c>
      <c r="K10" s="12" t="s">
        <v>5090</v>
      </c>
      <c r="L10" s="33" t="s">
        <v>4145</v>
      </c>
      <c r="M10" s="26" t="s">
        <v>5091</v>
      </c>
      <c r="N10" s="26" t="s">
        <v>1718</v>
      </c>
      <c r="O10" s="26" t="s">
        <v>547</v>
      </c>
      <c r="P10" s="26" t="s">
        <v>1842</v>
      </c>
      <c r="Q10" s="26" t="s">
        <v>1065</v>
      </c>
      <c r="R10" s="26" t="s">
        <v>5092</v>
      </c>
      <c r="S10" s="26"/>
      <c r="T10" s="26"/>
    </row>
    <row r="11" spans="1:21" s="40" customFormat="1" x14ac:dyDescent="0.25">
      <c r="A11" s="85" t="s">
        <v>5093</v>
      </c>
      <c r="B11" s="86">
        <v>4</v>
      </c>
      <c r="C11" s="64" t="s">
        <v>29</v>
      </c>
      <c r="D11" s="42" t="s">
        <v>1000</v>
      </c>
      <c r="E11" s="44"/>
      <c r="F11" s="64" t="s">
        <v>5094</v>
      </c>
      <c r="G11" s="57" t="s">
        <v>5095</v>
      </c>
      <c r="H11" s="46" t="s">
        <v>5096</v>
      </c>
      <c r="I11" s="47">
        <v>0</v>
      </c>
      <c r="J11" s="47"/>
      <c r="K11" s="48" t="s">
        <v>5097</v>
      </c>
      <c r="L11" s="44" t="s">
        <v>2412</v>
      </c>
      <c r="M11" s="42" t="s">
        <v>295</v>
      </c>
      <c r="N11" s="42" t="s">
        <v>539</v>
      </c>
      <c r="O11" s="42" t="s">
        <v>1719</v>
      </c>
      <c r="P11" s="42" t="s">
        <v>1289</v>
      </c>
      <c r="Q11" s="42" t="s">
        <v>1506</v>
      </c>
      <c r="R11" s="42" t="s">
        <v>625</v>
      </c>
      <c r="S11" s="42" t="s">
        <v>537</v>
      </c>
      <c r="T11" s="42" t="s">
        <v>714</v>
      </c>
      <c r="U11" s="42"/>
    </row>
    <row r="12" spans="1:20" s="14" customFormat="1" x14ac:dyDescent="0.25">
      <c r="A12" s="26">
        <v>23384</v>
      </c>
      <c r="B12" s="27"/>
      <c r="C12" s="26" t="s">
        <v>29</v>
      </c>
      <c r="D12" s="26" t="s">
        <v>1000</v>
      </c>
      <c r="E12" s="33"/>
      <c r="F12" s="26" t="s">
        <v>5098</v>
      </c>
      <c r="G12" s="31">
        <v>25</v>
      </c>
      <c r="H12" s="32"/>
      <c r="I12" s="11">
        <v>0</v>
      </c>
      <c r="J12" s="11" t="s">
        <v>5099</v>
      </c>
      <c r="K12" s="12" t="s">
        <v>5100</v>
      </c>
      <c r="L12" s="33" t="s">
        <v>106</v>
      </c>
      <c r="M12" s="26" t="s">
        <v>1522</v>
      </c>
      <c r="N12" s="26" t="s">
        <v>3949</v>
      </c>
      <c r="O12" s="26" t="s">
        <v>1071</v>
      </c>
      <c r="P12" s="26" t="s">
        <v>351</v>
      </c>
      <c r="Q12" s="26" t="s">
        <v>1871</v>
      </c>
      <c r="R12" s="26" t="s">
        <v>259</v>
      </c>
      <c r="S12" s="26" t="s">
        <v>5101</v>
      </c>
      <c r="T12" s="26"/>
    </row>
    <row r="13" spans="1:20" x14ac:dyDescent="0.25">
      <c r="A13" s="26">
        <v>23383</v>
      </c>
      <c r="B13" s="27"/>
      <c r="C13" s="26" t="s">
        <v>29</v>
      </c>
      <c r="D13" s="26" t="s">
        <v>1036</v>
      </c>
      <c r="E13" s="33"/>
      <c r="F13" s="26" t="s">
        <v>5102</v>
      </c>
      <c r="G13" s="31">
        <v>25</v>
      </c>
      <c r="H13" s="32"/>
      <c r="I13" s="11">
        <v>2</v>
      </c>
      <c r="J13" s="11" t="s">
        <v>5099</v>
      </c>
      <c r="K13" s="12" t="s">
        <v>533</v>
      </c>
      <c r="L13" s="33" t="s">
        <v>5103</v>
      </c>
      <c r="M13" s="26" t="s">
        <v>5104</v>
      </c>
      <c r="N13" s="26" t="s">
        <v>379</v>
      </c>
      <c r="O13" s="6" t="s">
        <v>5105</v>
      </c>
      <c r="P13" s="26"/>
      <c r="Q13" s="26"/>
      <c r="R13" s="26"/>
      <c r="S13" s="26"/>
      <c r="T13" s="26"/>
    </row>
    <row r="14" spans="1:19" x14ac:dyDescent="0.25">
      <c r="A14" s="6" t="s">
        <v>5106</v>
      </c>
      <c r="B14" s="7"/>
      <c r="C14" s="6" t="s">
        <v>29</v>
      </c>
      <c r="D14" s="74" t="s">
        <v>1526</v>
      </c>
      <c r="E14" s="75"/>
      <c r="F14" s="6" t="s">
        <v>5107</v>
      </c>
      <c r="G14" s="50">
        <v>24</v>
      </c>
      <c r="H14" s="10" t="s">
        <v>1152</v>
      </c>
      <c r="I14" s="51">
        <v>1</v>
      </c>
      <c r="J14" t="s">
        <v>5108</v>
      </c>
      <c r="K14" s="52" t="s">
        <v>1160</v>
      </c>
      <c r="L14" s="8" t="s">
        <v>1512</v>
      </c>
      <c r="M14" s="6" t="s">
        <v>5109</v>
      </c>
      <c r="N14" s="6"/>
      <c r="O14" s="6"/>
      <c r="P14" s="6"/>
      <c r="Q14" s="6"/>
      <c r="R14" s="6"/>
      <c r="S14" s="6"/>
    </row>
    <row r="15" spans="1:19" s="40" customFormat="1" x14ac:dyDescent="0.25">
      <c r="A15" s="42" t="s">
        <v>5110</v>
      </c>
      <c r="B15" s="43"/>
      <c r="C15" s="42" t="s">
        <v>29</v>
      </c>
      <c r="D15" s="106" t="s">
        <v>1526</v>
      </c>
      <c r="E15" s="87"/>
      <c r="F15" s="42" t="s">
        <v>5111</v>
      </c>
      <c r="G15" s="45">
        <v>40</v>
      </c>
      <c r="H15" s="46"/>
      <c r="I15" s="47">
        <v>0</v>
      </c>
      <c r="J15" s="42"/>
      <c r="K15" s="48" t="s">
        <v>5112</v>
      </c>
      <c r="L15" s="44" t="s">
        <v>5113</v>
      </c>
      <c r="M15" s="42" t="s">
        <v>693</v>
      </c>
      <c r="N15" s="42" t="s">
        <v>777</v>
      </c>
      <c r="O15" s="42" t="s">
        <v>2166</v>
      </c>
      <c r="P15" s="42" t="s">
        <v>534</v>
      </c>
      <c r="Q15" s="42" t="s">
        <v>1022</v>
      </c>
      <c r="R15" s="42" t="s">
        <v>714</v>
      </c>
      <c r="S15" s="42"/>
    </row>
    <row r="16" spans="1:19" s="40" customFormat="1" x14ac:dyDescent="0.25">
      <c r="A16" s="42" t="s">
        <v>5114</v>
      </c>
      <c r="B16" s="43"/>
      <c r="C16" s="42" t="s">
        <v>29</v>
      </c>
      <c r="D16" s="106" t="s">
        <v>1526</v>
      </c>
      <c r="E16" s="87"/>
      <c r="F16" s="42" t="s">
        <v>5115</v>
      </c>
      <c r="G16" s="45">
        <v>24</v>
      </c>
      <c r="H16" s="46" t="s">
        <v>1152</v>
      </c>
      <c r="I16" s="47">
        <v>0</v>
      </c>
      <c r="K16" s="48" t="s">
        <v>5116</v>
      </c>
      <c r="L16" s="44" t="s">
        <v>1212</v>
      </c>
      <c r="M16" s="42" t="s">
        <v>856</v>
      </c>
      <c r="N16" s="42" t="s">
        <v>1789</v>
      </c>
      <c r="O16" s="42"/>
      <c r="P16" s="42"/>
      <c r="Q16" s="42"/>
      <c r="R16" s="42"/>
      <c r="S16" s="42"/>
    </row>
    <row r="17" spans="1:19" x14ac:dyDescent="0.25">
      <c r="A17" s="6" t="s">
        <v>5117</v>
      </c>
      <c r="B17" s="7"/>
      <c r="C17" s="6" t="s">
        <v>29</v>
      </c>
      <c r="D17" s="74" t="s">
        <v>1526</v>
      </c>
      <c r="E17" s="75"/>
      <c r="F17" s="6" t="s">
        <v>5118</v>
      </c>
      <c r="G17" s="50">
        <v>24</v>
      </c>
      <c r="H17" s="10" t="s">
        <v>1152</v>
      </c>
      <c r="I17" s="51">
        <v>0</v>
      </c>
      <c r="J17" s="52" t="s">
        <v>5119</v>
      </c>
      <c r="K17" s="8" t="s">
        <v>5120</v>
      </c>
      <c r="L17" s="6" t="s">
        <v>818</v>
      </c>
      <c r="M17" s="6" t="s">
        <v>5121</v>
      </c>
      <c r="N17" s="6"/>
      <c r="O17" s="6"/>
      <c r="P17" s="6"/>
      <c r="Q17" s="6"/>
      <c r="R17" s="6"/>
      <c r="S17" s="6"/>
    </row>
    <row r="18" spans="1:19" s="40" customFormat="1" x14ac:dyDescent="0.25">
      <c r="A18" s="42" t="s">
        <v>5122</v>
      </c>
      <c r="B18" s="43"/>
      <c r="C18" s="124" t="s">
        <v>29</v>
      </c>
      <c r="D18" s="106" t="s">
        <v>1526</v>
      </c>
      <c r="E18" s="87"/>
      <c r="F18" s="42" t="s">
        <v>5123</v>
      </c>
      <c r="G18" s="45">
        <v>40</v>
      </c>
      <c r="H18" s="46" t="s">
        <v>1152</v>
      </c>
      <c r="I18" s="47">
        <v>2</v>
      </c>
      <c r="J18" s="42"/>
      <c r="K18" s="48" t="s">
        <v>5124</v>
      </c>
      <c r="L18" s="44" t="s">
        <v>5125</v>
      </c>
      <c r="M18" s="42"/>
      <c r="N18" s="42"/>
      <c r="O18" s="42"/>
      <c r="P18" s="42"/>
      <c r="Q18" s="42"/>
      <c r="R18" s="42"/>
      <c r="S18" s="42"/>
    </row>
    <row r="19" spans="1:19" s="40" customFormat="1" x14ac:dyDescent="0.25">
      <c r="A19" s="42" t="s">
        <v>5126</v>
      </c>
      <c r="B19" s="43"/>
      <c r="C19" s="124" t="s">
        <v>29</v>
      </c>
      <c r="D19" s="106" t="s">
        <v>1526</v>
      </c>
      <c r="E19" s="87"/>
      <c r="F19" s="42" t="s">
        <v>5127</v>
      </c>
      <c r="G19" s="45">
        <v>40</v>
      </c>
      <c r="H19" s="46"/>
      <c r="I19" s="47">
        <v>0</v>
      </c>
      <c r="J19" s="42"/>
      <c r="K19" s="48" t="s">
        <v>1171</v>
      </c>
      <c r="L19" s="44" t="s">
        <v>343</v>
      </c>
      <c r="M19" s="85" t="s">
        <v>1824</v>
      </c>
      <c r="N19" s="85" t="s">
        <v>1054</v>
      </c>
      <c r="O19" s="85"/>
      <c r="P19" s="42"/>
      <c r="Q19" s="42"/>
      <c r="R19" s="42"/>
      <c r="S19" s="42"/>
    </row>
    <row r="20" spans="1:19" x14ac:dyDescent="0.25">
      <c r="A20" s="6" t="s">
        <v>5128</v>
      </c>
      <c r="B20" s="7"/>
      <c r="C20" s="13" t="s">
        <v>29</v>
      </c>
      <c r="D20" s="74" t="s">
        <v>1526</v>
      </c>
      <c r="E20" s="75"/>
      <c r="F20" s="6" t="s">
        <v>5129</v>
      </c>
      <c r="G20" s="50">
        <v>24</v>
      </c>
      <c r="H20" s="10" t="s">
        <v>1152</v>
      </c>
      <c r="I20" s="51">
        <v>2</v>
      </c>
      <c r="J20" s="6" t="s">
        <v>5130</v>
      </c>
      <c r="K20" s="52" t="s">
        <v>5131</v>
      </c>
      <c r="L20" s="8" t="s">
        <v>3230</v>
      </c>
      <c r="M20" s="6" t="s">
        <v>1765</v>
      </c>
      <c r="N20" s="6" t="s">
        <v>42</v>
      </c>
      <c r="O20" s="6" t="s">
        <v>5132</v>
      </c>
      <c r="P20" s="6" t="s">
        <v>5133</v>
      </c>
      <c r="Q20" s="6"/>
      <c r="R20" s="6"/>
      <c r="S20" s="6"/>
    </row>
    <row r="21" spans="1:19" s="40" customFormat="1" x14ac:dyDescent="0.25">
      <c r="A21" s="42" t="s">
        <v>5134</v>
      </c>
      <c r="B21" s="43"/>
      <c r="C21" s="124" t="s">
        <v>29</v>
      </c>
      <c r="D21" s="106" t="s">
        <v>1526</v>
      </c>
      <c r="E21" s="87"/>
      <c r="F21" s="42" t="s">
        <v>5135</v>
      </c>
      <c r="G21" s="45">
        <v>40</v>
      </c>
      <c r="H21" s="46" t="s">
        <v>1152</v>
      </c>
      <c r="I21" s="47">
        <v>0</v>
      </c>
      <c r="J21" s="42"/>
      <c r="K21" s="109" t="s">
        <v>5136</v>
      </c>
      <c r="L21" s="44" t="s">
        <v>4075</v>
      </c>
      <c r="M21" s="42" t="s">
        <v>303</v>
      </c>
      <c r="N21" s="42" t="s">
        <v>785</v>
      </c>
      <c r="O21" s="42"/>
      <c r="P21" s="42"/>
      <c r="Q21" s="42"/>
      <c r="R21" s="42"/>
      <c r="S21" s="42"/>
    </row>
    <row r="22" spans="1:20" x14ac:dyDescent="0.25">
      <c r="A22" s="42" t="s">
        <v>5137</v>
      </c>
      <c r="B22" s="43"/>
      <c r="C22" s="124" t="s">
        <v>29</v>
      </c>
      <c r="D22" s="106" t="s">
        <v>1526</v>
      </c>
      <c r="E22" s="87"/>
      <c r="F22" s="42" t="s">
        <v>5138</v>
      </c>
      <c r="G22" s="45">
        <v>24</v>
      </c>
      <c r="H22" s="46"/>
      <c r="I22" s="47">
        <v>0</v>
      </c>
      <c r="J22" s="42"/>
      <c r="K22" s="48" t="s">
        <v>5139</v>
      </c>
      <c r="L22" s="44" t="s">
        <v>692</v>
      </c>
      <c r="M22" s="85" t="s">
        <v>1798</v>
      </c>
      <c r="N22" s="85"/>
      <c r="O22" s="85"/>
      <c r="P22" s="42"/>
      <c r="Q22" s="42"/>
      <c r="R22" s="42"/>
      <c r="S22" s="42"/>
      <c r="T22" s="40"/>
    </row>
    <row r="23" spans="1:20" x14ac:dyDescent="0.25">
      <c r="A23" s="26" t="s">
        <v>5140</v>
      </c>
      <c r="B23" s="27">
        <v>6.5</v>
      </c>
      <c r="C23" s="26" t="s">
        <v>29</v>
      </c>
      <c r="D23" s="29" t="s">
        <v>1526</v>
      </c>
      <c r="E23" s="30"/>
      <c r="F23" s="26" t="s">
        <v>5141</v>
      </c>
      <c r="G23" s="31">
        <v>10</v>
      </c>
      <c r="H23" s="32"/>
      <c r="I23" s="11">
        <v>2</v>
      </c>
      <c r="J23" s="6" t="s">
        <v>5142</v>
      </c>
      <c r="K23" s="12" t="s">
        <v>5143</v>
      </c>
      <c r="L23" s="33" t="s">
        <v>1754</v>
      </c>
      <c r="M23" s="76" t="s">
        <v>141</v>
      </c>
      <c r="N23" s="76" t="s">
        <v>658</v>
      </c>
      <c r="O23" s="76" t="s">
        <v>1931</v>
      </c>
      <c r="P23" s="26" t="s">
        <v>5144</v>
      </c>
      <c r="Q23" s="26"/>
      <c r="R23" s="26" t="s">
        <v>497</v>
      </c>
      <c r="S23" s="26" t="s">
        <v>737</v>
      </c>
      <c r="T23" s="26" t="s">
        <v>839</v>
      </c>
    </row>
    <row r="24" spans="1:19" s="40" customFormat="1" x14ac:dyDescent="0.25">
      <c r="A24" s="64" t="s">
        <v>5145</v>
      </c>
      <c r="B24" s="332">
        <v>7.5</v>
      </c>
      <c r="C24" s="64" t="s">
        <v>29</v>
      </c>
      <c r="D24" s="42" t="s">
        <v>5146</v>
      </c>
      <c r="E24" s="44"/>
      <c r="F24" s="64" t="s">
        <v>5147</v>
      </c>
      <c r="G24" s="57">
        <v>25</v>
      </c>
      <c r="H24" s="46" t="s">
        <v>5148</v>
      </c>
      <c r="I24" s="47">
        <v>0</v>
      </c>
      <c r="J24" s="42" t="s">
        <v>5065</v>
      </c>
      <c r="K24" s="48" t="s">
        <v>5149</v>
      </c>
      <c r="L24" s="44" t="s">
        <v>902</v>
      </c>
      <c r="M24" s="42" t="s">
        <v>1985</v>
      </c>
      <c r="N24" s="42" t="s">
        <v>215</v>
      </c>
      <c r="O24" s="42" t="s">
        <v>1358</v>
      </c>
      <c r="P24" s="42" t="s">
        <v>3246</v>
      </c>
      <c r="Q24" s="42" t="s">
        <v>5072</v>
      </c>
      <c r="R24" s="42"/>
      <c r="S24" s="42"/>
    </row>
    <row r="25" spans="1:19" s="40" customFormat="1" x14ac:dyDescent="0.25">
      <c r="A25" s="64" t="s">
        <v>5150</v>
      </c>
      <c r="B25" s="332">
        <v>7.5</v>
      </c>
      <c r="C25" s="64" t="s">
        <v>29</v>
      </c>
      <c r="D25" s="42" t="s">
        <v>5146</v>
      </c>
      <c r="E25" s="44"/>
      <c r="F25" s="64" t="s">
        <v>5151</v>
      </c>
      <c r="G25" s="57">
        <v>25</v>
      </c>
      <c r="H25" s="46" t="s">
        <v>5148</v>
      </c>
      <c r="I25" s="47">
        <v>0</v>
      </c>
      <c r="J25" s="42"/>
      <c r="K25" s="48" t="s">
        <v>5152</v>
      </c>
      <c r="L25" s="44" t="s">
        <v>647</v>
      </c>
      <c r="M25" s="42" t="s">
        <v>5153</v>
      </c>
      <c r="N25" s="42" t="s">
        <v>4354</v>
      </c>
      <c r="O25" s="42" t="s">
        <v>827</v>
      </c>
      <c r="P25" s="42"/>
      <c r="Q25" s="42"/>
      <c r="R25" s="42"/>
      <c r="S25" s="42"/>
    </row>
    <row r="26" spans="1:19" s="40" customFormat="1" x14ac:dyDescent="0.25">
      <c r="A26" s="42" t="s">
        <v>5154</v>
      </c>
      <c r="B26" s="43"/>
      <c r="C26" s="42" t="s">
        <v>29</v>
      </c>
      <c r="D26" s="42" t="s">
        <v>5155</v>
      </c>
      <c r="E26" s="44"/>
      <c r="F26" s="42" t="s">
        <v>5156</v>
      </c>
      <c r="G26" s="45">
        <v>25</v>
      </c>
      <c r="H26" s="46" t="s">
        <v>5157</v>
      </c>
      <c r="I26" s="47">
        <v>0</v>
      </c>
      <c r="J26" s="42"/>
      <c r="K26" s="48" t="s">
        <v>5158</v>
      </c>
      <c r="L26" s="44" t="s">
        <v>538</v>
      </c>
      <c r="M26" s="42" t="s">
        <v>87</v>
      </c>
      <c r="N26" s="42" t="s">
        <v>5159</v>
      </c>
      <c r="O26" s="42"/>
      <c r="P26" s="42"/>
      <c r="Q26" s="42"/>
      <c r="R26" s="42"/>
      <c r="S26" s="42"/>
    </row>
    <row r="27" spans="1:20" s="307" customFormat="1" x14ac:dyDescent="0.25">
      <c r="A27" s="64" t="s">
        <v>5160</v>
      </c>
      <c r="B27" s="332">
        <v>7.2</v>
      </c>
      <c r="C27" s="64" t="s">
        <v>1518</v>
      </c>
      <c r="D27" s="333" t="s">
        <v>5161</v>
      </c>
      <c r="E27" s="334"/>
      <c r="F27" s="64" t="s">
        <v>5162</v>
      </c>
      <c r="G27" s="335">
        <v>25</v>
      </c>
      <c r="H27" s="336"/>
      <c r="I27" s="337">
        <v>0</v>
      </c>
      <c r="J27" s="85"/>
      <c r="K27" s="98" t="s">
        <v>5090</v>
      </c>
      <c r="L27" s="87">
        <v>45532</v>
      </c>
      <c r="M27" s="85" t="s">
        <v>25</v>
      </c>
      <c r="N27" s="85" t="s">
        <v>120</v>
      </c>
      <c r="O27" s="85"/>
      <c r="P27" s="85" t="s">
        <v>5163</v>
      </c>
      <c r="Q27" s="85" t="s">
        <v>191</v>
      </c>
      <c r="R27" s="85" t="s">
        <v>1054</v>
      </c>
      <c r="S27" s="85" t="s">
        <v>275</v>
      </c>
      <c r="T27" s="85"/>
    </row>
    <row r="28" spans="1:20" x14ac:dyDescent="0.25">
      <c r="A28" s="55" t="s">
        <v>5164</v>
      </c>
      <c r="B28" s="59">
        <v>7.2</v>
      </c>
      <c r="C28" s="55" t="s">
        <v>1518</v>
      </c>
      <c r="D28" s="203" t="s">
        <v>5161</v>
      </c>
      <c r="E28" s="60"/>
      <c r="F28" s="55" t="s">
        <v>5165</v>
      </c>
      <c r="G28" s="201">
        <v>25</v>
      </c>
      <c r="H28" s="62"/>
      <c r="I28" s="105">
        <v>1</v>
      </c>
      <c r="J28" s="6" t="s">
        <v>5166</v>
      </c>
      <c r="K28" s="12" t="s">
        <v>5090</v>
      </c>
      <c r="L28" s="33" t="s">
        <v>72</v>
      </c>
      <c r="M28" s="26" t="s">
        <v>666</v>
      </c>
      <c r="N28" s="26" t="s">
        <v>2166</v>
      </c>
      <c r="O28" s="26" t="s">
        <v>74</v>
      </c>
      <c r="P28" s="26" t="s">
        <v>784</v>
      </c>
      <c r="Q28" s="26" t="s">
        <v>1002</v>
      </c>
      <c r="R28" s="26" t="s">
        <v>259</v>
      </c>
      <c r="S28" s="26" t="s">
        <v>5167</v>
      </c>
      <c r="T28" s="26"/>
    </row>
    <row r="29" spans="1:20" s="290" customFormat="1" x14ac:dyDescent="0.25">
      <c r="A29" s="338" t="s">
        <v>5168</v>
      </c>
      <c r="B29" s="339">
        <v>7.2</v>
      </c>
      <c r="C29" s="338" t="s">
        <v>1518</v>
      </c>
      <c r="D29" s="340" t="s">
        <v>5161</v>
      </c>
      <c r="E29" s="341"/>
      <c r="F29" s="338" t="s">
        <v>5169</v>
      </c>
      <c r="G29" s="342">
        <v>25</v>
      </c>
      <c r="H29" s="343"/>
      <c r="I29" s="344">
        <v>0</v>
      </c>
      <c r="J29" s="345"/>
      <c r="K29" s="346" t="s">
        <v>5170</v>
      </c>
      <c r="L29" s="347" t="s">
        <v>548</v>
      </c>
      <c r="M29" s="345" t="s">
        <v>24</v>
      </c>
      <c r="N29" s="345" t="s">
        <v>142</v>
      </c>
      <c r="O29" s="345" t="s">
        <v>1430</v>
      </c>
      <c r="P29" s="345" t="s">
        <v>992</v>
      </c>
      <c r="Q29" s="345" t="s">
        <v>497</v>
      </c>
      <c r="R29" s="345" t="s">
        <v>4119</v>
      </c>
      <c r="S29" s="345" t="s">
        <v>231</v>
      </c>
      <c r="T29" s="345" t="s">
        <v>1901</v>
      </c>
    </row>
    <row r="30" spans="1:20" x14ac:dyDescent="0.25">
      <c r="A30" s="101" t="s">
        <v>5171</v>
      </c>
      <c r="B30" s="166">
        <v>7.2</v>
      </c>
      <c r="C30" s="101" t="s">
        <v>1518</v>
      </c>
      <c r="D30" s="326" t="s">
        <v>5161</v>
      </c>
      <c r="E30" s="167"/>
      <c r="F30" s="101" t="s">
        <v>5172</v>
      </c>
      <c r="G30" s="200">
        <v>25</v>
      </c>
      <c r="H30" s="169" t="s">
        <v>5173</v>
      </c>
      <c r="I30" s="170">
        <v>0</v>
      </c>
      <c r="J30" s="6" t="s">
        <v>5174</v>
      </c>
      <c r="K30" s="52" t="s">
        <v>5175</v>
      </c>
      <c r="L30" s="8" t="s">
        <v>275</v>
      </c>
      <c r="M30" s="6" t="s">
        <v>548</v>
      </c>
      <c r="N30" s="6" t="s">
        <v>295</v>
      </c>
      <c r="O30" s="6" t="s">
        <v>5176</v>
      </c>
      <c r="P30" s="6"/>
      <c r="Q30" s="6" t="s">
        <v>73</v>
      </c>
      <c r="R30" s="6" t="s">
        <v>5163</v>
      </c>
      <c r="S30" s="6" t="s">
        <v>231</v>
      </c>
      <c r="T30" s="6" t="s">
        <v>626</v>
      </c>
    </row>
    <row r="31" spans="1:20" x14ac:dyDescent="0.25">
      <c r="A31" s="55" t="s">
        <v>5177</v>
      </c>
      <c r="B31" s="59">
        <v>7.2</v>
      </c>
      <c r="C31" s="55" t="s">
        <v>1518</v>
      </c>
      <c r="D31" s="203" t="s">
        <v>5161</v>
      </c>
      <c r="E31" s="60"/>
      <c r="F31" s="55" t="s">
        <v>5178</v>
      </c>
      <c r="G31" s="201">
        <v>25</v>
      </c>
      <c r="H31" s="17"/>
      <c r="I31" s="63">
        <v>0</v>
      </c>
      <c r="J31" s="6" t="s">
        <v>5089</v>
      </c>
      <c r="K31" s="12" t="s">
        <v>5179</v>
      </c>
      <c r="L31" s="33" t="s">
        <v>74</v>
      </c>
      <c r="M31" s="26" t="s">
        <v>501</v>
      </c>
      <c r="N31" s="26" t="s">
        <v>275</v>
      </c>
      <c r="O31" s="26" t="s">
        <v>3440</v>
      </c>
      <c r="P31" s="26" t="s">
        <v>1002</v>
      </c>
      <c r="Q31" s="26" t="s">
        <v>1542</v>
      </c>
      <c r="R31" s="26" t="s">
        <v>1430</v>
      </c>
      <c r="S31" s="26" t="s">
        <v>5092</v>
      </c>
      <c r="T31" s="26"/>
    </row>
    <row r="32" spans="1:20" s="14" customFormat="1" x14ac:dyDescent="0.25">
      <c r="A32" s="26" t="s">
        <v>5180</v>
      </c>
      <c r="B32" s="27"/>
      <c r="C32" s="26" t="s">
        <v>1518</v>
      </c>
      <c r="D32" s="29" t="s">
        <v>5161</v>
      </c>
      <c r="E32" s="30"/>
      <c r="F32" s="26" t="s">
        <v>5181</v>
      </c>
      <c r="G32" s="31">
        <v>50</v>
      </c>
      <c r="H32" s="32"/>
      <c r="I32" s="11">
        <v>3</v>
      </c>
      <c r="J32" s="26" t="s">
        <v>5182</v>
      </c>
      <c r="K32" s="12" t="s">
        <v>5183</v>
      </c>
      <c r="L32" s="33" t="s">
        <v>5184</v>
      </c>
      <c r="M32" s="26"/>
      <c r="N32" s="26" t="s">
        <v>705</v>
      </c>
      <c r="O32" s="26" t="s">
        <v>2153</v>
      </c>
      <c r="P32" s="26" t="s">
        <v>109</v>
      </c>
      <c r="Q32" s="26" t="s">
        <v>627</v>
      </c>
      <c r="R32" s="26" t="s">
        <v>275</v>
      </c>
      <c r="S32" s="26" t="s">
        <v>5185</v>
      </c>
      <c r="T32" s="26" t="s">
        <v>749</v>
      </c>
    </row>
    <row r="33" spans="1:20" s="40" customFormat="1" x14ac:dyDescent="0.25">
      <c r="A33" s="42" t="s">
        <v>5186</v>
      </c>
      <c r="B33" s="43"/>
      <c r="C33" s="42" t="s">
        <v>1518</v>
      </c>
      <c r="D33" s="106" t="s">
        <v>5161</v>
      </c>
      <c r="E33" s="87"/>
      <c r="F33" s="42" t="s">
        <v>5187</v>
      </c>
      <c r="G33" s="45">
        <v>50</v>
      </c>
      <c r="H33" s="46"/>
      <c r="I33" s="47">
        <v>0</v>
      </c>
      <c r="J33" s="42"/>
      <c r="K33" s="48" t="s">
        <v>5188</v>
      </c>
      <c r="L33" s="44" t="s">
        <v>703</v>
      </c>
      <c r="M33" s="42" t="s">
        <v>5189</v>
      </c>
      <c r="N33" s="42" t="s">
        <v>534</v>
      </c>
      <c r="O33" s="42" t="s">
        <v>2153</v>
      </c>
      <c r="P33" s="42" t="s">
        <v>737</v>
      </c>
      <c r="Q33" s="42" t="s">
        <v>627</v>
      </c>
      <c r="R33" s="42" t="s">
        <v>275</v>
      </c>
      <c r="S33" s="42" t="s">
        <v>102</v>
      </c>
      <c r="T33" s="42" t="s">
        <v>675</v>
      </c>
    </row>
    <row r="34" spans="1:20" s="40" customFormat="1" x14ac:dyDescent="0.25">
      <c r="A34" s="42" t="s">
        <v>5190</v>
      </c>
      <c r="B34" s="43"/>
      <c r="C34" s="42" t="s">
        <v>1518</v>
      </c>
      <c r="D34" s="106" t="s">
        <v>5161</v>
      </c>
      <c r="E34" s="87"/>
      <c r="F34" s="42" t="s">
        <v>5191</v>
      </c>
      <c r="G34" s="45">
        <v>50</v>
      </c>
      <c r="H34" s="46"/>
      <c r="I34" s="47">
        <v>0</v>
      </c>
      <c r="J34" s="42"/>
      <c r="K34" s="48" t="s">
        <v>5192</v>
      </c>
      <c r="L34" s="44" t="s">
        <v>703</v>
      </c>
      <c r="M34" s="42" t="s">
        <v>2206</v>
      </c>
      <c r="N34" s="42" t="s">
        <v>1718</v>
      </c>
      <c r="O34" s="42" t="s">
        <v>1765</v>
      </c>
      <c r="P34" s="42" t="s">
        <v>273</v>
      </c>
      <c r="Q34" s="42" t="s">
        <v>958</v>
      </c>
      <c r="R34" s="42"/>
      <c r="S34" s="42"/>
      <c r="T34" s="42"/>
    </row>
    <row r="35" spans="1:20" x14ac:dyDescent="0.25">
      <c r="A35" s="26" t="s">
        <v>5193</v>
      </c>
      <c r="B35" s="27"/>
      <c r="C35" s="26" t="s">
        <v>1518</v>
      </c>
      <c r="D35" s="29" t="s">
        <v>5161</v>
      </c>
      <c r="E35" s="30"/>
      <c r="F35" s="26" t="s">
        <v>5194</v>
      </c>
      <c r="G35" s="31">
        <v>50</v>
      </c>
      <c r="H35" s="32"/>
      <c r="I35" s="11">
        <v>1</v>
      </c>
      <c r="J35" s="6" t="s">
        <v>5195</v>
      </c>
      <c r="K35" s="12" t="s">
        <v>907</v>
      </c>
      <c r="L35" s="33" t="s">
        <v>206</v>
      </c>
      <c r="M35" s="26" t="s">
        <v>5105</v>
      </c>
      <c r="N35" s="26"/>
      <c r="O35" s="26" t="s">
        <v>2153</v>
      </c>
      <c r="P35" s="26" t="s">
        <v>73</v>
      </c>
      <c r="Q35" s="28" t="s">
        <v>73</v>
      </c>
      <c r="R35" s="26" t="s">
        <v>231</v>
      </c>
      <c r="S35" s="26" t="s">
        <v>2873</v>
      </c>
      <c r="T35" s="26" t="s">
        <v>1065</v>
      </c>
    </row>
    <row r="36" spans="1:20" x14ac:dyDescent="0.25">
      <c r="A36" s="26" t="s">
        <v>5196</v>
      </c>
      <c r="B36" s="27"/>
      <c r="C36" s="26" t="s">
        <v>1518</v>
      </c>
      <c r="D36" s="29" t="s">
        <v>5161</v>
      </c>
      <c r="E36" s="30"/>
      <c r="F36" s="26" t="s">
        <v>5197</v>
      </c>
      <c r="G36" s="31">
        <v>50</v>
      </c>
      <c r="H36" s="32"/>
      <c r="I36" s="11">
        <v>2</v>
      </c>
      <c r="J36" s="6" t="s">
        <v>5130</v>
      </c>
      <c r="K36" s="12" t="s">
        <v>5198</v>
      </c>
      <c r="L36" s="33" t="s">
        <v>1098</v>
      </c>
      <c r="M36" s="26" t="s">
        <v>647</v>
      </c>
      <c r="N36" s="26" t="s">
        <v>278</v>
      </c>
      <c r="O36" s="26" t="s">
        <v>5199</v>
      </c>
      <c r="P36" s="26" t="s">
        <v>231</v>
      </c>
      <c r="Q36" s="26" t="s">
        <v>5200</v>
      </c>
      <c r="R36" s="26"/>
      <c r="S36" s="26"/>
      <c r="T36" s="26"/>
    </row>
    <row r="37" spans="1:20" x14ac:dyDescent="0.25">
      <c r="A37" s="26" t="s">
        <v>5201</v>
      </c>
      <c r="B37" s="27"/>
      <c r="C37" s="26" t="s">
        <v>1518</v>
      </c>
      <c r="D37" s="29" t="s">
        <v>5161</v>
      </c>
      <c r="E37" s="30"/>
      <c r="F37" s="26" t="s">
        <v>5202</v>
      </c>
      <c r="G37" s="31">
        <v>50</v>
      </c>
      <c r="H37" s="32"/>
      <c r="I37" s="11">
        <v>4</v>
      </c>
      <c r="J37" s="6"/>
      <c r="K37" s="12" t="s">
        <v>5203</v>
      </c>
      <c r="L37" s="33" t="s">
        <v>134</v>
      </c>
      <c r="M37" s="26"/>
      <c r="N37" s="26" t="s">
        <v>698</v>
      </c>
      <c r="O37" s="26" t="s">
        <v>88</v>
      </c>
      <c r="P37" s="26" t="s">
        <v>249</v>
      </c>
      <c r="Q37" s="26" t="s">
        <v>2040</v>
      </c>
      <c r="R37" s="26" t="s">
        <v>844</v>
      </c>
      <c r="S37" s="26" t="s">
        <v>2300</v>
      </c>
      <c r="T37" s="26" t="s">
        <v>5204</v>
      </c>
    </row>
    <row r="38" spans="1:20" s="40" customFormat="1" x14ac:dyDescent="0.25">
      <c r="A38" s="64" t="s">
        <v>5205</v>
      </c>
      <c r="B38" s="332">
        <v>0.95</v>
      </c>
      <c r="C38" s="64"/>
      <c r="D38" s="42" t="s">
        <v>5161</v>
      </c>
      <c r="E38" s="44"/>
      <c r="F38" s="42" t="s">
        <v>5206</v>
      </c>
      <c r="G38" s="57">
        <v>25</v>
      </c>
      <c r="H38" s="46"/>
      <c r="I38" s="47">
        <v>0</v>
      </c>
      <c r="J38" s="42"/>
      <c r="K38" s="48" t="s">
        <v>1540</v>
      </c>
      <c r="L38" s="44" t="s">
        <v>5207</v>
      </c>
      <c r="M38" s="42" t="s">
        <v>245</v>
      </c>
      <c r="N38" s="42" t="s">
        <v>2363</v>
      </c>
      <c r="O38" s="42" t="s">
        <v>5208</v>
      </c>
      <c r="P38" s="42" t="s">
        <v>5209</v>
      </c>
      <c r="Q38" s="42"/>
      <c r="R38" s="42"/>
      <c r="S38" s="42"/>
      <c r="T38" s="42"/>
    </row>
    <row r="39" spans="1:20" s="40" customFormat="1" x14ac:dyDescent="0.25">
      <c r="A39" s="64" t="s">
        <v>5210</v>
      </c>
      <c r="B39" s="332">
        <v>0.95</v>
      </c>
      <c r="C39" s="64" t="s">
        <v>1518</v>
      </c>
      <c r="D39" s="42" t="s">
        <v>5161</v>
      </c>
      <c r="E39" s="44"/>
      <c r="F39" s="42" t="s">
        <v>5211</v>
      </c>
      <c r="G39" s="57">
        <v>25</v>
      </c>
      <c r="H39" s="46"/>
      <c r="I39" s="47">
        <v>0</v>
      </c>
      <c r="J39" s="42"/>
      <c r="K39" s="48" t="s">
        <v>5212</v>
      </c>
      <c r="L39" s="44" t="s">
        <v>217</v>
      </c>
      <c r="M39" s="42" t="s">
        <v>5213</v>
      </c>
      <c r="N39" s="42" t="s">
        <v>484</v>
      </c>
      <c r="O39" s="42" t="s">
        <v>1773</v>
      </c>
      <c r="P39" s="42"/>
      <c r="Q39" s="42"/>
      <c r="R39" s="42"/>
      <c r="S39" s="42"/>
      <c r="T39" s="42"/>
    </row>
    <row r="40" spans="1:20" x14ac:dyDescent="0.25">
      <c r="A40" s="55" t="s">
        <v>5214</v>
      </c>
      <c r="B40" s="59">
        <v>0.95</v>
      </c>
      <c r="C40" s="55"/>
      <c r="D40" s="26" t="s">
        <v>5161</v>
      </c>
      <c r="E40" s="33"/>
      <c r="F40" s="26" t="s">
        <v>5215</v>
      </c>
      <c r="G40" s="56">
        <v>25</v>
      </c>
      <c r="H40" s="32"/>
      <c r="I40" s="11">
        <v>8</v>
      </c>
      <c r="J40" s="6"/>
      <c r="K40" s="12" t="s">
        <v>1763</v>
      </c>
      <c r="L40" s="33" t="s">
        <v>5216</v>
      </c>
      <c r="M40" s="26" t="s">
        <v>275</v>
      </c>
      <c r="N40" s="26" t="s">
        <v>379</v>
      </c>
      <c r="O40" s="26" t="s">
        <v>5217</v>
      </c>
      <c r="P40" s="26" t="s">
        <v>1895</v>
      </c>
      <c r="Q40" s="26"/>
      <c r="R40" s="26"/>
      <c r="S40" s="26"/>
      <c r="T40" s="26"/>
    </row>
    <row r="41" spans="1:20" s="14" customFormat="1" x14ac:dyDescent="0.25">
      <c r="A41" s="26" t="s">
        <v>5218</v>
      </c>
      <c r="B41" s="59">
        <v>0.95</v>
      </c>
      <c r="C41" s="55" t="s">
        <v>1518</v>
      </c>
      <c r="D41" s="26" t="s">
        <v>5161</v>
      </c>
      <c r="E41" s="33"/>
      <c r="F41" s="26" t="s">
        <v>5219</v>
      </c>
      <c r="G41" s="56">
        <v>10</v>
      </c>
      <c r="H41" s="32" t="s">
        <v>5220</v>
      </c>
      <c r="I41" s="11">
        <v>8</v>
      </c>
      <c r="J41" s="26"/>
      <c r="K41" s="12" t="s">
        <v>5221</v>
      </c>
      <c r="L41" s="33" t="s">
        <v>5222</v>
      </c>
      <c r="M41" s="26" t="s">
        <v>343</v>
      </c>
      <c r="N41" s="26" t="s">
        <v>650</v>
      </c>
      <c r="O41" s="26" t="s">
        <v>1065</v>
      </c>
      <c r="P41" s="26" t="s">
        <v>2576</v>
      </c>
      <c r="Q41" s="26" t="s">
        <v>5223</v>
      </c>
      <c r="R41" s="26" t="s">
        <v>1931</v>
      </c>
      <c r="S41" s="26" t="s">
        <v>465</v>
      </c>
      <c r="T41" s="26"/>
    </row>
    <row r="42" spans="1:20" x14ac:dyDescent="0.25">
      <c r="A42" s="55" t="s">
        <v>5224</v>
      </c>
      <c r="B42" s="59">
        <v>0.95</v>
      </c>
      <c r="C42" s="55" t="s">
        <v>1518</v>
      </c>
      <c r="D42" s="26" t="s">
        <v>5161</v>
      </c>
      <c r="E42" s="33"/>
      <c r="F42" s="26" t="s">
        <v>5225</v>
      </c>
      <c r="G42" s="56">
        <v>25</v>
      </c>
      <c r="H42" s="32"/>
      <c r="I42" s="11">
        <v>15</v>
      </c>
      <c r="J42" s="6"/>
      <c r="K42" s="12"/>
      <c r="L42" s="33" t="s">
        <v>275</v>
      </c>
      <c r="M42" s="26" t="s">
        <v>246</v>
      </c>
      <c r="N42" s="26" t="s">
        <v>379</v>
      </c>
      <c r="O42" s="26" t="s">
        <v>5226</v>
      </c>
      <c r="P42" s="26"/>
      <c r="Q42" s="26"/>
      <c r="R42" s="26"/>
      <c r="S42" s="26"/>
      <c r="T42" s="26"/>
    </row>
    <row r="43" spans="1:20" s="40" customFormat="1" x14ac:dyDescent="0.25">
      <c r="A43" s="64" t="s">
        <v>5227</v>
      </c>
      <c r="B43" s="332">
        <v>0.95</v>
      </c>
      <c r="C43" s="64" t="s">
        <v>1518</v>
      </c>
      <c r="D43" s="42" t="s">
        <v>5161</v>
      </c>
      <c r="E43" s="44"/>
      <c r="F43" s="42" t="s">
        <v>5228</v>
      </c>
      <c r="G43" s="57">
        <v>25</v>
      </c>
      <c r="H43" s="142"/>
      <c r="I43" s="47">
        <v>0</v>
      </c>
      <c r="J43" s="42"/>
      <c r="K43" s="48"/>
      <c r="L43" s="44" t="s">
        <v>5229</v>
      </c>
      <c r="M43" s="42" t="s">
        <v>5230</v>
      </c>
      <c r="N43" s="42" t="s">
        <v>275</v>
      </c>
      <c r="O43" s="42" t="s">
        <v>5209</v>
      </c>
      <c r="P43" s="42" t="s">
        <v>1003</v>
      </c>
      <c r="Q43" s="42" t="s">
        <v>5231</v>
      </c>
      <c r="R43" s="42"/>
      <c r="S43" s="42"/>
      <c r="T43" s="42"/>
    </row>
    <row r="44" spans="1:20" s="40" customFormat="1" x14ac:dyDescent="0.25">
      <c r="A44" s="64" t="s">
        <v>5232</v>
      </c>
      <c r="B44" s="332">
        <v>0.95</v>
      </c>
      <c r="C44" s="64" t="s">
        <v>1518</v>
      </c>
      <c r="D44" s="42" t="s">
        <v>5161</v>
      </c>
      <c r="E44" s="44"/>
      <c r="F44" s="42" t="s">
        <v>5233</v>
      </c>
      <c r="G44" s="57">
        <v>10</v>
      </c>
      <c r="H44" s="142"/>
      <c r="I44" s="47">
        <v>0</v>
      </c>
      <c r="J44" s="42"/>
      <c r="K44" s="48"/>
      <c r="L44" s="44" t="s">
        <v>650</v>
      </c>
      <c r="M44" s="42" t="s">
        <v>880</v>
      </c>
      <c r="N44" s="42" t="s">
        <v>5213</v>
      </c>
      <c r="O44" s="42"/>
      <c r="P44" s="42"/>
      <c r="Q44" s="42"/>
      <c r="R44" s="42"/>
      <c r="S44" s="42"/>
      <c r="T44" s="42"/>
    </row>
    <row r="45" spans="1:20" s="40" customFormat="1" x14ac:dyDescent="0.25">
      <c r="A45" s="64" t="s">
        <v>5234</v>
      </c>
      <c r="B45" s="332">
        <v>0.95</v>
      </c>
      <c r="C45" s="64" t="s">
        <v>1518</v>
      </c>
      <c r="D45" s="42" t="s">
        <v>5161</v>
      </c>
      <c r="E45" s="44"/>
      <c r="F45" s="42" t="s">
        <v>5235</v>
      </c>
      <c r="G45" s="57">
        <v>10</v>
      </c>
      <c r="H45" s="142" t="s">
        <v>5220</v>
      </c>
      <c r="I45" s="47">
        <v>0</v>
      </c>
      <c r="J45" s="42"/>
      <c r="K45" s="48" t="s">
        <v>5236</v>
      </c>
      <c r="L45" s="44" t="s">
        <v>650</v>
      </c>
      <c r="M45" s="42" t="s">
        <v>239</v>
      </c>
      <c r="N45" s="42"/>
      <c r="O45" s="42"/>
      <c r="P45" s="42"/>
      <c r="Q45" s="42"/>
      <c r="R45" s="42"/>
      <c r="S45" s="42"/>
      <c r="T45" s="42"/>
    </row>
    <row r="46" spans="1:20" s="40" customFormat="1" x14ac:dyDescent="0.25">
      <c r="A46" s="42" t="s">
        <v>5237</v>
      </c>
      <c r="B46" s="43"/>
      <c r="C46" s="42" t="s">
        <v>1518</v>
      </c>
      <c r="D46" s="106" t="s">
        <v>5161</v>
      </c>
      <c r="E46" s="87"/>
      <c r="F46" s="42" t="s">
        <v>5238</v>
      </c>
      <c r="G46" s="45">
        <v>25</v>
      </c>
      <c r="H46" s="46"/>
      <c r="I46" s="47">
        <v>0</v>
      </c>
      <c r="J46" s="42"/>
      <c r="K46" s="48" t="s">
        <v>5239</v>
      </c>
      <c r="L46" s="44" t="s">
        <v>704</v>
      </c>
      <c r="M46" s="42" t="s">
        <v>2138</v>
      </c>
      <c r="N46" s="42"/>
      <c r="O46" s="42"/>
      <c r="P46" s="42"/>
      <c r="Q46" s="42"/>
      <c r="R46" s="42"/>
      <c r="S46" s="42"/>
      <c r="T46" s="42"/>
    </row>
    <row r="47" spans="1:20" x14ac:dyDescent="0.25">
      <c r="A47" s="26" t="s">
        <v>5240</v>
      </c>
      <c r="B47" s="27">
        <v>2</v>
      </c>
      <c r="C47" s="55" t="s">
        <v>29</v>
      </c>
      <c r="D47" s="26" t="s">
        <v>2974</v>
      </c>
      <c r="E47" s="33"/>
      <c r="F47" s="26" t="s">
        <v>5241</v>
      </c>
      <c r="G47" s="56">
        <v>10</v>
      </c>
      <c r="H47" s="32" t="s">
        <v>2976</v>
      </c>
      <c r="I47" s="11">
        <v>3</v>
      </c>
      <c r="J47" s="6" t="s">
        <v>5060</v>
      </c>
      <c r="K47" s="12" t="s">
        <v>5242</v>
      </c>
      <c r="L47" s="33" t="s">
        <v>1240</v>
      </c>
      <c r="M47" s="26" t="s">
        <v>107</v>
      </c>
      <c r="N47" s="26" t="s">
        <v>901</v>
      </c>
      <c r="O47" s="26" t="s">
        <v>650</v>
      </c>
      <c r="P47" s="26" t="s">
        <v>25</v>
      </c>
      <c r="Q47" s="26" t="s">
        <v>1375</v>
      </c>
      <c r="R47" s="26" t="s">
        <v>5167</v>
      </c>
      <c r="S47" s="26"/>
      <c r="T47" s="26"/>
    </row>
    <row r="48" spans="1:20" s="40" customFormat="1" x14ac:dyDescent="0.25">
      <c r="A48" s="42" t="s">
        <v>5243</v>
      </c>
      <c r="B48" s="43">
        <v>2</v>
      </c>
      <c r="C48" s="64" t="s">
        <v>29</v>
      </c>
      <c r="D48" s="42" t="s">
        <v>2974</v>
      </c>
      <c r="E48" s="44"/>
      <c r="F48" s="42" t="s">
        <v>5244</v>
      </c>
      <c r="G48" s="57">
        <v>50</v>
      </c>
      <c r="H48" s="46" t="s">
        <v>2976</v>
      </c>
      <c r="I48" s="47">
        <v>0</v>
      </c>
      <c r="J48" s="42"/>
      <c r="K48" s="48" t="s">
        <v>5245</v>
      </c>
      <c r="L48" s="44" t="s">
        <v>1358</v>
      </c>
      <c r="M48" s="42" t="s">
        <v>880</v>
      </c>
      <c r="N48" s="42" t="s">
        <v>602</v>
      </c>
      <c r="O48" s="42" t="s">
        <v>538</v>
      </c>
      <c r="P48" s="42" t="s">
        <v>295</v>
      </c>
      <c r="Q48" s="42" t="s">
        <v>260</v>
      </c>
      <c r="R48" s="42" t="s">
        <v>616</v>
      </c>
      <c r="S48" s="42" t="s">
        <v>2702</v>
      </c>
      <c r="T48" s="42" t="s">
        <v>2741</v>
      </c>
    </row>
    <row r="49" spans="1:20" s="40" customFormat="1" x14ac:dyDescent="0.25">
      <c r="A49" s="42" t="s">
        <v>5246</v>
      </c>
      <c r="B49" s="43">
        <v>2</v>
      </c>
      <c r="C49" s="64" t="s">
        <v>29</v>
      </c>
      <c r="D49" s="42" t="s">
        <v>2974</v>
      </c>
      <c r="E49" s="44"/>
      <c r="F49" s="42" t="s">
        <v>5247</v>
      </c>
      <c r="G49" s="57">
        <v>10</v>
      </c>
      <c r="H49" s="46" t="s">
        <v>2976</v>
      </c>
      <c r="I49" s="47">
        <v>0</v>
      </c>
      <c r="J49" s="42"/>
      <c r="K49" s="48" t="s">
        <v>5158</v>
      </c>
      <c r="L49" s="44" t="s">
        <v>650</v>
      </c>
      <c r="M49" s="42" t="s">
        <v>880</v>
      </c>
      <c r="N49" s="42" t="s">
        <v>602</v>
      </c>
      <c r="O49" s="42" t="s">
        <v>602</v>
      </c>
      <c r="P49" s="42" t="s">
        <v>260</v>
      </c>
      <c r="Q49" s="42" t="s">
        <v>698</v>
      </c>
      <c r="R49" s="42" t="s">
        <v>2741</v>
      </c>
      <c r="S49" s="42" t="s">
        <v>3440</v>
      </c>
      <c r="T49" s="42" t="s">
        <v>1307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workbookViewId="0" zoomScale="100" zoomScaleNormal="100">
      <selection activeCell="E87" sqref="E87"/>
    </sheetView>
  </sheetViews>
  <sheetFormatPr defaultRowHeight="12" outlineLevelRow="0" outlineLevelCol="0" x14ac:dyDescent="0" defaultColWidth="8.5703125" customHeight="1"/>
  <cols>
    <col min="1" max="1" width="42.42578125" style="348" customWidth="1"/>
    <col min="2" max="16384" width="8.5703125" style="349" customWidth="1"/>
  </cols>
  <sheetData>
    <row r="1" ht="24" customHeight="1" spans="1:4" x14ac:dyDescent="0.25">
      <c r="A1" s="350" t="s">
        <v>5248</v>
      </c>
      <c r="B1" s="351" t="s">
        <v>5249</v>
      </c>
      <c r="C1" s="352" t="s">
        <v>4430</v>
      </c>
      <c r="D1" s="353"/>
    </row>
    <row r="2" spans="1:4" x14ac:dyDescent="0.25">
      <c r="A2" s="350" t="s">
        <v>5250</v>
      </c>
      <c r="B2" s="351"/>
      <c r="C2" s="354"/>
      <c r="D2" s="355">
        <f t="shared" ref="D2:D43" si="0">B2+C2</f>
        <v>0</v>
      </c>
    </row>
    <row r="3" spans="1:4" x14ac:dyDescent="0.25">
      <c r="A3" s="356" t="s">
        <v>5251</v>
      </c>
      <c r="B3" s="351"/>
      <c r="C3" s="354"/>
      <c r="D3" s="353">
        <f t="shared" si="0"/>
        <v>0</v>
      </c>
    </row>
    <row r="4" spans="1:4" x14ac:dyDescent="0.25">
      <c r="A4" s="350" t="s">
        <v>5252</v>
      </c>
      <c r="B4" s="351"/>
      <c r="C4" s="354"/>
      <c r="D4" s="355">
        <f t="shared" si="0"/>
        <v>0</v>
      </c>
    </row>
    <row r="5" spans="1:5" x14ac:dyDescent="0.25">
      <c r="A5" s="350" t="s">
        <v>5253</v>
      </c>
      <c r="B5" s="357"/>
      <c r="C5" s="358">
        <v>0</v>
      </c>
      <c r="D5" s="355">
        <f t="shared" si="0"/>
        <v>0</v>
      </c>
      <c r="E5" s="349" t="s">
        <v>920</v>
      </c>
    </row>
    <row r="6" spans="1:4" x14ac:dyDescent="0.25">
      <c r="A6" s="359" t="s">
        <v>5254</v>
      </c>
      <c r="B6" s="357"/>
      <c r="C6" s="360"/>
      <c r="D6" s="355">
        <f t="shared" si="0"/>
        <v>0</v>
      </c>
    </row>
    <row r="7" spans="1:4" x14ac:dyDescent="0.25">
      <c r="A7" s="361" t="s">
        <v>5255</v>
      </c>
      <c r="B7" s="357"/>
      <c r="C7" s="360"/>
      <c r="D7" s="355">
        <f t="shared" si="0"/>
        <v>0</v>
      </c>
    </row>
    <row r="8" spans="1:4" x14ac:dyDescent="0.25">
      <c r="A8" s="362" t="s">
        <v>5256</v>
      </c>
      <c r="B8" s="357"/>
      <c r="C8" s="360"/>
      <c r="D8" s="353">
        <f t="shared" si="0"/>
        <v>0</v>
      </c>
    </row>
    <row r="9" spans="1:4" x14ac:dyDescent="0.25">
      <c r="A9" s="363" t="s">
        <v>5257</v>
      </c>
      <c r="B9" s="357"/>
      <c r="C9" s="360"/>
      <c r="D9" s="353">
        <f t="shared" si="0"/>
        <v>0</v>
      </c>
    </row>
    <row r="10" spans="1:4" x14ac:dyDescent="0.25">
      <c r="A10" s="363" t="s">
        <v>5258</v>
      </c>
      <c r="B10" s="357"/>
      <c r="C10" s="360"/>
      <c r="D10" s="353">
        <f t="shared" si="0"/>
        <v>0</v>
      </c>
    </row>
    <row r="11" spans="1:4" x14ac:dyDescent="0.25">
      <c r="A11" s="363" t="s">
        <v>5259</v>
      </c>
      <c r="B11" s="357"/>
      <c r="C11" s="360"/>
      <c r="D11" s="353">
        <f t="shared" si="0"/>
        <v>0</v>
      </c>
    </row>
    <row r="12" ht="22.5" customHeight="1" spans="1:5" x14ac:dyDescent="0.25">
      <c r="A12" s="364" t="s">
        <v>5260</v>
      </c>
      <c r="B12" s="357"/>
      <c r="C12" s="358">
        <v>0</v>
      </c>
      <c r="D12" s="355">
        <f t="shared" si="0"/>
        <v>0</v>
      </c>
      <c r="E12" s="349" t="s">
        <v>5261</v>
      </c>
    </row>
    <row r="13" ht="22.5" customHeight="1" spans="1:8" x14ac:dyDescent="0.25">
      <c r="A13" s="364" t="s">
        <v>5262</v>
      </c>
      <c r="B13" s="357"/>
      <c r="C13" s="358">
        <v>0</v>
      </c>
      <c r="D13" s="355">
        <f t="shared" si="0"/>
        <v>0</v>
      </c>
      <c r="E13" s="349" t="s">
        <v>599</v>
      </c>
      <c r="F13" s="349" t="s">
        <v>1303</v>
      </c>
      <c r="G13" s="349" t="s">
        <v>920</v>
      </c>
      <c r="H13" s="349" t="s">
        <v>5261</v>
      </c>
    </row>
    <row r="14" ht="22.5" customHeight="1" spans="1:4" x14ac:dyDescent="0.25">
      <c r="A14" s="364" t="s">
        <v>5263</v>
      </c>
      <c r="B14" s="357"/>
      <c r="C14" s="358"/>
      <c r="D14" s="355">
        <f t="shared" si="0"/>
        <v>0</v>
      </c>
    </row>
    <row r="15" ht="22.5" customHeight="1" spans="1:4" x14ac:dyDescent="0.25">
      <c r="A15" s="364" t="s">
        <v>5264</v>
      </c>
      <c r="B15" s="357"/>
      <c r="C15" s="358"/>
      <c r="D15" s="355">
        <f t="shared" si="0"/>
        <v>0</v>
      </c>
    </row>
    <row r="16" spans="1:4" x14ac:dyDescent="0.25">
      <c r="A16" s="359" t="s">
        <v>5265</v>
      </c>
      <c r="B16" s="357"/>
      <c r="C16" s="360"/>
      <c r="D16" s="355">
        <f t="shared" si="0"/>
        <v>0</v>
      </c>
    </row>
    <row r="17" spans="1:4" x14ac:dyDescent="0.25">
      <c r="A17" s="359" t="s">
        <v>5266</v>
      </c>
      <c r="B17" s="357"/>
      <c r="C17" s="360"/>
      <c r="D17" s="353">
        <f t="shared" si="0"/>
        <v>0</v>
      </c>
    </row>
    <row r="18" spans="1:4" x14ac:dyDescent="0.25">
      <c r="A18" s="363" t="s">
        <v>5267</v>
      </c>
      <c r="B18" s="357"/>
      <c r="C18" s="360">
        <v>0</v>
      </c>
      <c r="D18" s="353">
        <f t="shared" si="0"/>
        <v>0</v>
      </c>
    </row>
    <row r="19" spans="1:4" x14ac:dyDescent="0.25">
      <c r="A19" s="359" t="s">
        <v>5268</v>
      </c>
      <c r="B19" s="365"/>
      <c r="C19" s="358">
        <v>0</v>
      </c>
      <c r="D19" s="355">
        <f t="shared" si="0"/>
        <v>0</v>
      </c>
    </row>
    <row r="20" spans="1:4" x14ac:dyDescent="0.25">
      <c r="A20" s="359" t="s">
        <v>5269</v>
      </c>
      <c r="B20" s="357"/>
      <c r="C20" s="360">
        <v>0</v>
      </c>
      <c r="D20" s="355">
        <f t="shared" si="0"/>
        <v>0</v>
      </c>
    </row>
    <row r="21" spans="1:4" x14ac:dyDescent="0.25">
      <c r="A21" s="359" t="s">
        <v>5270</v>
      </c>
      <c r="B21" s="357"/>
      <c r="C21" s="360">
        <v>0</v>
      </c>
      <c r="D21" s="355">
        <f t="shared" si="0"/>
        <v>0</v>
      </c>
    </row>
    <row r="22" ht="24" customHeight="1" spans="1:4" x14ac:dyDescent="0.25">
      <c r="A22" s="356" t="s">
        <v>5271</v>
      </c>
      <c r="B22" s="357"/>
      <c r="C22" s="360"/>
      <c r="D22" s="353">
        <f t="shared" si="0"/>
        <v>0</v>
      </c>
    </row>
    <row r="23" spans="1:4" x14ac:dyDescent="0.25">
      <c r="A23" s="363" t="s">
        <v>5272</v>
      </c>
      <c r="B23" s="357"/>
      <c r="C23" s="360"/>
      <c r="D23" s="353">
        <f t="shared" si="0"/>
        <v>0</v>
      </c>
    </row>
    <row r="24" ht="22.5" customHeight="1" spans="1:4" x14ac:dyDescent="0.25">
      <c r="A24" s="364" t="s">
        <v>5273</v>
      </c>
      <c r="B24" s="357"/>
      <c r="C24" s="360"/>
      <c r="D24" s="355">
        <f t="shared" si="0"/>
        <v>0</v>
      </c>
    </row>
    <row r="25" spans="1:4" x14ac:dyDescent="0.25">
      <c r="A25" s="366" t="s">
        <v>5274</v>
      </c>
      <c r="B25" s="357"/>
      <c r="C25" s="360"/>
      <c r="D25" s="353">
        <f t="shared" si="0"/>
        <v>0</v>
      </c>
    </row>
    <row r="26" spans="1:4" x14ac:dyDescent="0.25">
      <c r="A26" s="366" t="s">
        <v>5275</v>
      </c>
      <c r="B26" s="357"/>
      <c r="C26" s="360"/>
      <c r="D26" s="353">
        <f t="shared" si="0"/>
        <v>0</v>
      </c>
    </row>
    <row r="27" spans="1:4" x14ac:dyDescent="0.25">
      <c r="A27" s="359" t="s">
        <v>5276</v>
      </c>
      <c r="B27" s="357"/>
      <c r="C27" s="360"/>
      <c r="D27" s="355">
        <f t="shared" si="0"/>
        <v>0</v>
      </c>
    </row>
    <row r="28" spans="1:4" x14ac:dyDescent="0.25">
      <c r="A28" s="350" t="s">
        <v>5277</v>
      </c>
      <c r="B28" s="357"/>
      <c r="C28" s="358"/>
      <c r="D28" s="355">
        <f t="shared" si="0"/>
        <v>0</v>
      </c>
    </row>
    <row r="29" spans="1:4" x14ac:dyDescent="0.25">
      <c r="A29" s="350" t="s">
        <v>5278</v>
      </c>
      <c r="B29" s="357"/>
      <c r="C29" s="360"/>
      <c r="D29" s="355">
        <f t="shared" si="0"/>
        <v>0</v>
      </c>
    </row>
    <row r="30" spans="1:4" x14ac:dyDescent="0.25">
      <c r="A30" s="350" t="s">
        <v>5279</v>
      </c>
      <c r="B30" s="357"/>
      <c r="C30" s="358"/>
      <c r="D30" s="355">
        <f t="shared" si="0"/>
        <v>0</v>
      </c>
    </row>
    <row r="31" spans="1:6" s="367" customFormat="1" x14ac:dyDescent="0.25">
      <c r="A31" s="368" t="s">
        <v>5280</v>
      </c>
      <c r="B31" s="369"/>
      <c r="C31" s="370">
        <v>0</v>
      </c>
      <c r="D31" s="371">
        <f t="shared" si="0"/>
        <v>0</v>
      </c>
      <c r="F31" s="367" t="s">
        <v>5281</v>
      </c>
    </row>
    <row r="32" spans="1:4" x14ac:dyDescent="0.25">
      <c r="A32" s="359" t="s">
        <v>5282</v>
      </c>
      <c r="B32" s="357"/>
      <c r="C32" s="360">
        <v>0</v>
      </c>
      <c r="D32" s="355">
        <f t="shared" si="0"/>
        <v>0</v>
      </c>
    </row>
    <row r="33" spans="1:4" x14ac:dyDescent="0.25">
      <c r="A33" s="363" t="s">
        <v>5283</v>
      </c>
      <c r="B33" s="357"/>
      <c r="C33" s="360"/>
      <c r="D33" s="353">
        <f t="shared" si="0"/>
        <v>0</v>
      </c>
    </row>
    <row r="34" spans="1:4" x14ac:dyDescent="0.25">
      <c r="A34" s="359" t="s">
        <v>5284</v>
      </c>
      <c r="B34" s="357"/>
      <c r="C34" s="360"/>
      <c r="D34" s="355">
        <f t="shared" si="0"/>
        <v>0</v>
      </c>
    </row>
    <row r="35" spans="1:4" x14ac:dyDescent="0.25">
      <c r="A35" s="359" t="s">
        <v>5285</v>
      </c>
      <c r="B35" s="357"/>
      <c r="C35" s="358"/>
      <c r="D35" s="355">
        <f t="shared" si="0"/>
        <v>0</v>
      </c>
    </row>
    <row r="36" spans="1:4" x14ac:dyDescent="0.25">
      <c r="A36" s="356" t="s">
        <v>5286</v>
      </c>
      <c r="B36" s="357"/>
      <c r="C36" s="360"/>
      <c r="D36" s="353">
        <f t="shared" si="0"/>
        <v>0</v>
      </c>
    </row>
    <row r="37" spans="1:4" x14ac:dyDescent="0.25">
      <c r="A37" s="364" t="s">
        <v>5287</v>
      </c>
      <c r="B37" s="357"/>
      <c r="C37" s="360"/>
      <c r="D37" s="355">
        <f t="shared" si="0"/>
        <v>0</v>
      </c>
    </row>
    <row r="38" spans="1:4" x14ac:dyDescent="0.25">
      <c r="A38" s="366" t="s">
        <v>5288</v>
      </c>
      <c r="B38" s="357"/>
      <c r="C38" s="360"/>
      <c r="D38" s="353">
        <f t="shared" si="0"/>
        <v>0</v>
      </c>
    </row>
    <row r="39" spans="1:4" x14ac:dyDescent="0.25">
      <c r="A39" s="363" t="s">
        <v>5289</v>
      </c>
      <c r="B39" s="357"/>
      <c r="C39" s="360"/>
      <c r="D39" s="353">
        <f t="shared" si="0"/>
        <v>0</v>
      </c>
    </row>
    <row r="40" spans="1:4" x14ac:dyDescent="0.25">
      <c r="A40" s="359" t="s">
        <v>5290</v>
      </c>
      <c r="B40" s="357"/>
      <c r="C40" s="360"/>
      <c r="D40" s="353">
        <f t="shared" si="0"/>
        <v>0</v>
      </c>
    </row>
    <row r="41" spans="1:4" x14ac:dyDescent="0.25">
      <c r="A41" s="350" t="s">
        <v>5291</v>
      </c>
      <c r="B41" s="372"/>
      <c r="C41" s="358">
        <v>0</v>
      </c>
      <c r="D41" s="355">
        <f t="shared" si="0"/>
        <v>0</v>
      </c>
    </row>
    <row r="42" spans="1:4" x14ac:dyDescent="0.25">
      <c r="A42" s="364" t="s">
        <v>5292</v>
      </c>
      <c r="B42" s="357"/>
      <c r="C42" s="358"/>
      <c r="D42" s="355">
        <f t="shared" si="0"/>
        <v>0</v>
      </c>
    </row>
    <row r="43" spans="1:4" x14ac:dyDescent="0.25">
      <c r="A43" s="364" t="s">
        <v>5293</v>
      </c>
      <c r="B43" s="357"/>
      <c r="C43" s="358"/>
      <c r="D43" s="355">
        <f t="shared" si="0"/>
        <v>0</v>
      </c>
    </row>
    <row r="44" spans="1:4" x14ac:dyDescent="0.25">
      <c r="A44" s="364" t="s">
        <v>5294</v>
      </c>
      <c r="B44" s="357"/>
      <c r="C44" s="358"/>
      <c r="D44" s="355">
        <v>0</v>
      </c>
    </row>
    <row r="45" spans="1:4" x14ac:dyDescent="0.25">
      <c r="A45" s="366" t="s">
        <v>5295</v>
      </c>
      <c r="B45" s="357"/>
      <c r="C45" s="360"/>
      <c r="D45" s="355">
        <f t="shared" ref="D45:D89" si="1">B45+C45</f>
        <v>0</v>
      </c>
    </row>
    <row r="46" spans="1:4" x14ac:dyDescent="0.25">
      <c r="A46" s="363" t="s">
        <v>5296</v>
      </c>
      <c r="B46" s="357"/>
      <c r="C46" s="360"/>
      <c r="D46" s="353">
        <f t="shared" si="1"/>
        <v>0</v>
      </c>
    </row>
    <row r="47" ht="24" customHeight="1" spans="1:4" x14ac:dyDescent="0.25">
      <c r="A47" s="366" t="s">
        <v>5297</v>
      </c>
      <c r="B47" s="357"/>
      <c r="C47" s="360"/>
      <c r="D47" s="353">
        <f t="shared" si="1"/>
        <v>0</v>
      </c>
    </row>
    <row r="48" ht="24" customHeight="1" spans="1:4" x14ac:dyDescent="0.25">
      <c r="A48" s="366" t="s">
        <v>5298</v>
      </c>
      <c r="B48" s="357"/>
      <c r="C48" s="360"/>
      <c r="D48" s="353">
        <f t="shared" si="1"/>
        <v>0</v>
      </c>
    </row>
    <row r="49" spans="1:4" x14ac:dyDescent="0.25">
      <c r="A49" s="364" t="s">
        <v>5299</v>
      </c>
      <c r="B49" s="357"/>
      <c r="C49" s="360"/>
      <c r="D49" s="355">
        <f t="shared" si="1"/>
        <v>0</v>
      </c>
    </row>
    <row r="50" spans="1:4" x14ac:dyDescent="0.25">
      <c r="A50" s="359" t="s">
        <v>5300</v>
      </c>
      <c r="B50" s="357"/>
      <c r="C50" s="360"/>
      <c r="D50" s="355">
        <f t="shared" si="1"/>
        <v>0</v>
      </c>
    </row>
    <row r="51" spans="1:4" x14ac:dyDescent="0.25">
      <c r="A51" s="359" t="s">
        <v>5301</v>
      </c>
      <c r="B51" s="372"/>
      <c r="C51" s="358"/>
      <c r="D51" s="355">
        <f t="shared" si="1"/>
        <v>0</v>
      </c>
    </row>
    <row r="52" ht="24" customHeight="1" spans="1:4" x14ac:dyDescent="0.25">
      <c r="A52" s="366" t="s">
        <v>5302</v>
      </c>
      <c r="B52" s="357"/>
      <c r="C52" s="360"/>
      <c r="D52" s="353">
        <f t="shared" si="1"/>
        <v>0</v>
      </c>
    </row>
    <row r="53" spans="1:4" x14ac:dyDescent="0.25">
      <c r="A53" s="364" t="s">
        <v>5303</v>
      </c>
      <c r="B53" s="372"/>
      <c r="C53" s="358"/>
      <c r="D53" s="355">
        <f t="shared" si="1"/>
        <v>0</v>
      </c>
    </row>
    <row r="54" spans="1:4" x14ac:dyDescent="0.25">
      <c r="A54" s="364" t="s">
        <v>5304</v>
      </c>
      <c r="B54" s="357"/>
      <c r="C54" s="358"/>
      <c r="D54" s="355">
        <f t="shared" si="1"/>
        <v>0</v>
      </c>
    </row>
    <row r="55" spans="1:4" x14ac:dyDescent="0.25">
      <c r="A55" s="364" t="s">
        <v>5305</v>
      </c>
      <c r="B55" s="357"/>
      <c r="C55" s="358"/>
      <c r="D55" s="355">
        <f t="shared" si="1"/>
        <v>0</v>
      </c>
    </row>
    <row r="56" spans="1:4" x14ac:dyDescent="0.25">
      <c r="A56" s="350" t="s">
        <v>5306</v>
      </c>
      <c r="B56" s="357"/>
      <c r="C56" s="358"/>
      <c r="D56" s="355">
        <f t="shared" si="1"/>
        <v>0</v>
      </c>
    </row>
    <row r="57" spans="1:4" x14ac:dyDescent="0.25">
      <c r="A57" s="356" t="s">
        <v>5307</v>
      </c>
      <c r="B57" s="357"/>
      <c r="C57" s="360"/>
      <c r="D57" s="353">
        <f t="shared" si="1"/>
        <v>0</v>
      </c>
    </row>
    <row r="58" spans="1:4" x14ac:dyDescent="0.25">
      <c r="A58" s="356" t="s">
        <v>5308</v>
      </c>
      <c r="B58" s="357"/>
      <c r="C58" s="360"/>
      <c r="D58" s="353">
        <f t="shared" si="1"/>
        <v>0</v>
      </c>
    </row>
    <row r="59" spans="1:4" x14ac:dyDescent="0.25">
      <c r="A59" s="359" t="s">
        <v>5309</v>
      </c>
      <c r="B59" s="357"/>
      <c r="C59" s="358"/>
      <c r="D59" s="355">
        <f t="shared" si="1"/>
        <v>0</v>
      </c>
    </row>
    <row r="60" spans="1:4" x14ac:dyDescent="0.25">
      <c r="A60" s="356" t="s">
        <v>5310</v>
      </c>
      <c r="B60" s="357"/>
      <c r="C60" s="360"/>
      <c r="D60" s="353">
        <f t="shared" si="1"/>
        <v>0</v>
      </c>
    </row>
    <row r="61" spans="1:4" x14ac:dyDescent="0.25">
      <c r="A61" s="350" t="s">
        <v>5311</v>
      </c>
      <c r="B61" s="357"/>
      <c r="C61" s="358"/>
      <c r="D61" s="355">
        <f t="shared" si="1"/>
        <v>0</v>
      </c>
    </row>
    <row r="62" spans="1:4" x14ac:dyDescent="0.25">
      <c r="A62" s="350" t="s">
        <v>5312</v>
      </c>
      <c r="B62" s="357"/>
      <c r="C62" s="360"/>
      <c r="D62" s="355">
        <f t="shared" si="1"/>
        <v>0</v>
      </c>
    </row>
    <row r="63" spans="1:4" x14ac:dyDescent="0.25">
      <c r="A63" s="350" t="s">
        <v>5313</v>
      </c>
      <c r="B63" s="357"/>
      <c r="C63" s="360"/>
      <c r="D63" s="353">
        <f t="shared" si="1"/>
        <v>0</v>
      </c>
    </row>
    <row r="64" spans="1:4" x14ac:dyDescent="0.25">
      <c r="A64" s="350" t="s">
        <v>5314</v>
      </c>
      <c r="B64" s="357"/>
      <c r="C64" s="360"/>
      <c r="D64" s="355">
        <f t="shared" si="1"/>
        <v>0</v>
      </c>
    </row>
    <row r="65" spans="1:4" x14ac:dyDescent="0.25">
      <c r="A65" s="350" t="s">
        <v>5315</v>
      </c>
      <c r="B65" s="357"/>
      <c r="C65" s="358"/>
      <c r="D65" s="355">
        <f t="shared" si="1"/>
        <v>0</v>
      </c>
    </row>
    <row r="66" spans="1:4" x14ac:dyDescent="0.25">
      <c r="A66" s="350" t="s">
        <v>5316</v>
      </c>
      <c r="B66" s="357"/>
      <c r="C66" s="358"/>
      <c r="D66" s="355">
        <f t="shared" si="1"/>
        <v>0</v>
      </c>
    </row>
    <row r="67" spans="1:4" x14ac:dyDescent="0.25">
      <c r="A67" s="350" t="s">
        <v>5317</v>
      </c>
      <c r="B67" s="357"/>
      <c r="C67" s="360"/>
      <c r="D67" s="355">
        <f t="shared" si="1"/>
        <v>0</v>
      </c>
    </row>
    <row r="68" spans="1:4" x14ac:dyDescent="0.25">
      <c r="A68" s="350" t="s">
        <v>5318</v>
      </c>
      <c r="B68" s="357"/>
      <c r="C68" s="358"/>
      <c r="D68" s="355">
        <f t="shared" si="1"/>
        <v>0</v>
      </c>
    </row>
    <row r="69" spans="1:4" x14ac:dyDescent="0.25">
      <c r="A69" s="350" t="s">
        <v>5319</v>
      </c>
      <c r="B69" s="357"/>
      <c r="C69" s="360"/>
      <c r="D69" s="355">
        <f t="shared" si="1"/>
        <v>0</v>
      </c>
    </row>
    <row r="70" spans="1:4" x14ac:dyDescent="0.25">
      <c r="A70" s="350" t="s">
        <v>5320</v>
      </c>
      <c r="B70" s="357"/>
      <c r="C70" s="358"/>
      <c r="D70" s="355">
        <f t="shared" si="1"/>
        <v>0</v>
      </c>
    </row>
    <row r="71" spans="1:4" x14ac:dyDescent="0.25">
      <c r="A71" s="350" t="s">
        <v>5321</v>
      </c>
      <c r="B71" s="357"/>
      <c r="C71" s="360"/>
      <c r="D71" s="355">
        <f t="shared" si="1"/>
        <v>0</v>
      </c>
    </row>
    <row r="72" spans="1:4" x14ac:dyDescent="0.25">
      <c r="A72" s="350" t="s">
        <v>5322</v>
      </c>
      <c r="B72" s="357"/>
      <c r="C72" s="358"/>
      <c r="D72" s="355">
        <f t="shared" si="1"/>
        <v>0</v>
      </c>
    </row>
    <row r="73" spans="1:4" x14ac:dyDescent="0.25">
      <c r="A73" s="350" t="s">
        <v>5323</v>
      </c>
      <c r="B73" s="357"/>
      <c r="C73" s="360"/>
      <c r="D73" s="355">
        <f t="shared" si="1"/>
        <v>0</v>
      </c>
    </row>
    <row r="74" spans="1:4" x14ac:dyDescent="0.25">
      <c r="A74" s="350" t="s">
        <v>5324</v>
      </c>
      <c r="B74" s="372"/>
      <c r="C74" s="358">
        <v>0</v>
      </c>
      <c r="D74" s="355">
        <f t="shared" si="1"/>
        <v>0</v>
      </c>
    </row>
    <row r="75" spans="1:4" x14ac:dyDescent="0.25">
      <c r="A75" s="366" t="s">
        <v>5325</v>
      </c>
      <c r="B75" s="357"/>
      <c r="C75" s="360"/>
      <c r="D75" s="353">
        <f t="shared" si="1"/>
        <v>0</v>
      </c>
    </row>
    <row r="76" spans="1:4" x14ac:dyDescent="0.25">
      <c r="A76" s="364" t="s">
        <v>5326</v>
      </c>
      <c r="B76" s="357"/>
      <c r="C76" s="360"/>
      <c r="D76" s="355">
        <f t="shared" si="1"/>
        <v>0</v>
      </c>
    </row>
    <row r="77" spans="1:4" x14ac:dyDescent="0.25">
      <c r="A77" s="350" t="s">
        <v>5327</v>
      </c>
      <c r="B77" s="372"/>
      <c r="C77" s="360"/>
      <c r="D77" s="355">
        <f t="shared" si="1"/>
        <v>0</v>
      </c>
    </row>
    <row r="78" spans="1:4" x14ac:dyDescent="0.25">
      <c r="A78" s="350" t="s">
        <v>5328</v>
      </c>
      <c r="B78" s="357"/>
      <c r="C78" s="360"/>
      <c r="D78" s="353">
        <f t="shared" si="1"/>
        <v>0</v>
      </c>
    </row>
    <row r="79" spans="1:4" x14ac:dyDescent="0.25">
      <c r="A79" s="350" t="s">
        <v>5329</v>
      </c>
      <c r="B79" s="357"/>
      <c r="C79" s="360"/>
      <c r="D79" s="355">
        <f t="shared" si="1"/>
        <v>0</v>
      </c>
    </row>
    <row r="80" spans="1:4" x14ac:dyDescent="0.25">
      <c r="A80" s="356" t="s">
        <v>5330</v>
      </c>
      <c r="B80" s="357"/>
      <c r="C80" s="360"/>
      <c r="D80" s="353">
        <f t="shared" si="1"/>
        <v>0</v>
      </c>
    </row>
    <row r="81" spans="1:4" x14ac:dyDescent="0.25">
      <c r="A81" s="356" t="s">
        <v>5331</v>
      </c>
      <c r="B81" s="357"/>
      <c r="C81" s="360"/>
      <c r="D81" s="353">
        <f t="shared" si="1"/>
        <v>0</v>
      </c>
    </row>
    <row r="82" spans="1:4" x14ac:dyDescent="0.25">
      <c r="A82" s="350" t="s">
        <v>5332</v>
      </c>
      <c r="B82" s="357"/>
      <c r="C82" s="360"/>
      <c r="D82" s="355">
        <f t="shared" si="1"/>
        <v>0</v>
      </c>
    </row>
    <row r="83" spans="1:4" x14ac:dyDescent="0.25">
      <c r="A83" s="366" t="s">
        <v>5333</v>
      </c>
      <c r="B83" s="357"/>
      <c r="C83" s="360"/>
      <c r="D83" s="353">
        <f t="shared" si="1"/>
        <v>0</v>
      </c>
    </row>
    <row r="84" spans="1:5" x14ac:dyDescent="0.25">
      <c r="A84" s="359" t="s">
        <v>5334</v>
      </c>
      <c r="B84" s="372"/>
      <c r="C84" s="358">
        <v>0</v>
      </c>
      <c r="D84" s="355">
        <f t="shared" si="1"/>
        <v>0</v>
      </c>
      <c r="E84" s="349" t="s">
        <v>1066</v>
      </c>
    </row>
    <row r="85" spans="1:4" x14ac:dyDescent="0.25">
      <c r="A85" s="359" t="s">
        <v>5335</v>
      </c>
      <c r="B85" s="357"/>
      <c r="C85" s="358">
        <v>0</v>
      </c>
      <c r="D85" s="355">
        <f t="shared" si="1"/>
        <v>0</v>
      </c>
    </row>
    <row r="86" spans="1:5" x14ac:dyDescent="0.25">
      <c r="A86" s="359" t="s">
        <v>5336</v>
      </c>
      <c r="B86" s="372"/>
      <c r="C86" s="358">
        <v>0</v>
      </c>
      <c r="D86" s="355">
        <f t="shared" si="1"/>
        <v>0</v>
      </c>
      <c r="E86" s="349" t="s">
        <v>599</v>
      </c>
    </row>
    <row r="87" spans="1:5" x14ac:dyDescent="0.25">
      <c r="A87" s="359" t="s">
        <v>5337</v>
      </c>
      <c r="B87" s="357"/>
      <c r="C87" s="358">
        <v>1</v>
      </c>
      <c r="D87" s="355">
        <v>1</v>
      </c>
      <c r="E87" s="349" t="s">
        <v>66</v>
      </c>
    </row>
    <row r="88" spans="1:6" x14ac:dyDescent="0.25">
      <c r="A88" s="364" t="s">
        <v>5338</v>
      </c>
      <c r="B88" s="357"/>
      <c r="C88" s="358">
        <v>0</v>
      </c>
      <c r="D88" s="373">
        <f t="shared" si="1"/>
        <v>0</v>
      </c>
      <c r="E88" s="349" t="s">
        <v>599</v>
      </c>
      <c r="F88" s="374"/>
    </row>
    <row r="89" spans="1:4" x14ac:dyDescent="0.25">
      <c r="A89" s="364" t="s">
        <v>5339</v>
      </c>
      <c r="B89" s="357"/>
      <c r="C89" s="358"/>
      <c r="D89" s="373">
        <f t="shared" si="1"/>
        <v>0</v>
      </c>
    </row>
    <row r="90" spans="1:4" x14ac:dyDescent="0.25">
      <c r="A90" s="373"/>
      <c r="B90" s="353">
        <f>SUM(B2:B89)</f>
        <v>0</v>
      </c>
      <c r="C90" s="375">
        <f>SUM(C2:C89)</f>
        <v>1</v>
      </c>
      <c r="D90" s="353">
        <f>SUM(D2:D89)</f>
        <v>1</v>
      </c>
    </row>
  </sheetData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WAREHOUSE</vt:lpstr>
      <vt:lpstr>Sheet2</vt:lpstr>
      <vt:lpstr>Padron 15.07</vt:lpstr>
      <vt:lpstr>Cubans</vt:lpstr>
      <vt:lpstr>Padron</vt:lpstr>
      <vt:lpstr>Fuente Prometeous</vt:lpstr>
      <vt:lpstr>ACCESSORIES</vt:lpstr>
      <vt:lpstr>Flavoured</vt:lpstr>
      <vt:lpstr>Pipe Tobacco</vt:lpstr>
      <vt:lpstr>Sheet1</vt:lpstr>
      <vt:lpstr>PADRON Stocktake 18.5.23</vt:lpstr>
      <vt:lpstr>STOCK TAKE 15.05</vt:lpstr>
    </vt:vector>
  </TitlesOfParts>
  <Company>Hewlett-Packard Company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PDS Whyalla</dc:creator>
  <dc:title/>
  <dc:subject/>
  <dc:description/>
  <cp:keywords/>
  <cp:category/>
  <cp:lastModifiedBy>Noel Bower</cp:lastModifiedBy>
  <cp:contentStatus/>
  <dcterms:created xsi:type="dcterms:W3CDTF">2021-05-08T01:02:28Z</dcterms:created>
  <dcterms:modified xsi:type="dcterms:W3CDTF">2025-12-15T03:52:34Z</dcterms:modified>
</cp:coreProperties>
</file>